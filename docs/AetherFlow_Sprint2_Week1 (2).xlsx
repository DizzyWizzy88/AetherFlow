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la\Documents\Team Project 2\Submissions\"/>
    </mc:Choice>
  </mc:AlternateContent>
  <xr:revisionPtr revIDLastSave="0" documentId="8_{8CC35B26-5028-4ED8-9A4A-99254A96F1EC}" xr6:coauthVersionLast="47" xr6:coauthVersionMax="47" xr10:uidLastSave="{00000000-0000-0000-0000-000000000000}"/>
  <bookViews>
    <workbookView xWindow="28680" yWindow="-120" windowWidth="29040" windowHeight="15840" firstSheet="3" activeTab="3" xr2:uid="{00000000-000D-0000-FFFF-FFFF00000000}"/>
  </bookViews>
  <sheets>
    <sheet name="Introduction" sheetId="1" r:id="rId1"/>
    <sheet name="Product backlog" sheetId="2" r:id="rId2"/>
    <sheet name="Sprint 1" sheetId="3" r:id="rId3"/>
    <sheet name="Sprint 2" sheetId="4" r:id="rId4"/>
  </sheets>
  <definedNames>
    <definedName name="_xlnm._FilterDatabase" localSheetId="1" hidden="1">'Product backlog'!$B$1:$F$1</definedName>
    <definedName name="_xlnm._FilterDatabase" localSheetId="2" hidden="1">'Sprint 1'!$A$10:$E$10</definedName>
    <definedName name="_xlnm._FilterDatabase" localSheetId="3" hidden="1">'Sprint 2'!$A$10:$E$10</definedName>
    <definedName name="Z_988818D5_2AEF_4A9A_A55E_18240173EC63_.wvu.FilterData" localSheetId="1" hidden="1">'Product backlog'!$A$10:$F$10</definedName>
    <definedName name="Z_988818D5_2AEF_4A9A_A55E_18240173EC63_.wvu.FilterData" localSheetId="2" hidden="1">'Sprint 1'!$A$10:$E$10</definedName>
    <definedName name="Z_988818D5_2AEF_4A9A_A55E_18240173EC63_.wvu.FilterData" localSheetId="3" hidden="1">'Sprint 2'!$A$10:$E$10</definedName>
    <definedName name="Z_AF9CDD9E_3CB3_EE48_8887_F1090B6AE042_.wvu.FilterData" localSheetId="1" hidden="1">'Product backlog'!$A$10:$F$10</definedName>
    <definedName name="Z_AF9CDD9E_3CB3_EE48_8887_F1090B6AE042_.wvu.FilterData" localSheetId="2" hidden="1">'Sprint 1'!$A$10:$E$10</definedName>
    <definedName name="Z_AF9CDD9E_3CB3_EE48_8887_F1090B6AE042_.wvu.FilterData" localSheetId="3" hidden="1">'Sprint 2'!$A$10:$E$10</definedName>
    <definedName name="Z_F117AA09_D9DE_4D2E_A2DF_77AB3D7617C3_.wvu.FilterData" localSheetId="1" hidden="1">'Product backlog'!$A$10:$F$10</definedName>
    <definedName name="Z_F117AA09_D9DE_4D2E_A2DF_77AB3D7617C3_.wvu.FilterData" localSheetId="2" hidden="1">'Sprint 1'!$A$10:$E$10</definedName>
    <definedName name="Z_F117AA09_D9DE_4D2E_A2DF_77AB3D7617C3_.wvu.FilterData" localSheetId="3" hidden="1">'Sprint 2'!$A$10:$E$10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0" i="3" l="1"/>
  <c r="F25" i="3"/>
  <c r="G25" i="3" s="1"/>
  <c r="H25" i="3" s="1"/>
  <c r="I25" i="3" s="1"/>
  <c r="J25" i="3" s="1"/>
  <c r="K25" i="3" s="1"/>
  <c r="L25" i="3" s="1"/>
  <c r="M25" i="3" s="1"/>
  <c r="N25" i="3" s="1"/>
  <c r="O25" i="3" s="1"/>
  <c r="P25" i="3" s="1"/>
  <c r="Q25" i="3" s="1"/>
  <c r="R25" i="3" s="1"/>
  <c r="S25" i="3" s="1"/>
  <c r="S24" i="3"/>
  <c r="R24" i="3"/>
  <c r="Q24" i="3"/>
  <c r="P24" i="3"/>
  <c r="O24" i="3"/>
  <c r="N24" i="3"/>
  <c r="M24" i="3"/>
  <c r="L24" i="3"/>
  <c r="K24" i="3"/>
  <c r="J24" i="3"/>
  <c r="I24" i="3"/>
  <c r="H24" i="3"/>
  <c r="G24" i="3"/>
  <c r="F24" i="3"/>
  <c r="F10" i="3"/>
  <c r="G10" i="3" s="1"/>
  <c r="H10" i="3" s="1"/>
  <c r="I10" i="3" s="1"/>
  <c r="J10" i="3" s="1"/>
  <c r="K10" i="3" s="1"/>
  <c r="L10" i="3" s="1"/>
  <c r="M10" i="3" s="1"/>
  <c r="N10" i="3" s="1"/>
  <c r="O10" i="3" s="1"/>
  <c r="P10" i="3" s="1"/>
  <c r="Q10" i="3" s="1"/>
  <c r="R10" i="3" s="1"/>
  <c r="S10" i="3" s="1"/>
  <c r="A2" i="3"/>
  <c r="S41" i="4"/>
  <c r="L41" i="4"/>
  <c r="F36" i="4"/>
  <c r="G36" i="4" s="1"/>
  <c r="H36" i="4" s="1"/>
  <c r="I36" i="4" s="1"/>
  <c r="J36" i="4" s="1"/>
  <c r="K36" i="4" s="1"/>
  <c r="L36" i="4" s="1"/>
  <c r="M36" i="4" s="1"/>
  <c r="N36" i="4" s="1"/>
  <c r="O36" i="4" s="1"/>
  <c r="P36" i="4" s="1"/>
  <c r="Q36" i="4" s="1"/>
  <c r="R36" i="4" s="1"/>
  <c r="S36" i="4" s="1"/>
  <c r="S35" i="4"/>
  <c r="R35" i="4"/>
  <c r="Q35" i="4"/>
  <c r="P35" i="4"/>
  <c r="O35" i="4"/>
  <c r="N35" i="4"/>
  <c r="M35" i="4"/>
  <c r="L35" i="4"/>
  <c r="K35" i="4"/>
  <c r="J35" i="4"/>
  <c r="H35" i="4"/>
  <c r="E35" i="4"/>
  <c r="F35" i="4" s="1"/>
  <c r="F10" i="4"/>
  <c r="G10" i="4" s="1"/>
  <c r="H10" i="4" s="1"/>
  <c r="I10" i="4" s="1"/>
  <c r="J10" i="4" s="1"/>
  <c r="K10" i="4" s="1"/>
  <c r="L10" i="4" s="1"/>
  <c r="M10" i="4" s="1"/>
  <c r="N10" i="4" s="1"/>
  <c r="O10" i="4" s="1"/>
  <c r="P10" i="4" s="1"/>
  <c r="Q10" i="4" s="1"/>
  <c r="R10" i="4" s="1"/>
  <c r="S10" i="4" s="1"/>
  <c r="A2" i="4"/>
  <c r="G35" i="4" l="1"/>
  <c r="I35" i="4"/>
</calcChain>
</file>

<file path=xl/sharedStrings.xml><?xml version="1.0" encoding="utf-8"?>
<sst xmlns="http://schemas.openxmlformats.org/spreadsheetml/2006/main" count="223" uniqueCount="144">
  <si>
    <t>Project</t>
  </si>
  <si>
    <t>AetherFlow</t>
  </si>
  <si>
    <t>Sprint #</t>
  </si>
  <si>
    <t>Start date</t>
  </si>
  <si>
    <t>Total Team Members</t>
  </si>
  <si>
    <t>week 1</t>
  </si>
  <si>
    <t>week 2</t>
  </si>
  <si>
    <t>Task ID</t>
  </si>
  <si>
    <t>Story ID</t>
  </si>
  <si>
    <t>Description</t>
  </si>
  <si>
    <t>Responsibility</t>
  </si>
  <si>
    <t>Initial estimate</t>
  </si>
  <si>
    <t>AF-201</t>
  </si>
  <si>
    <t>AF-100</t>
  </si>
  <si>
    <t>Restructure local React/Vite development layers to support absolute path mapping schemas (@/*) via vite.config.js and jsconfig.json. Configure framework settings to target and scale components within a WSL local environment.</t>
  </si>
  <si>
    <t>Daniel Rhoads</t>
  </si>
  <si>
    <t>AF-202</t>
  </si>
  <si>
    <t>Resolve compilation block where Vite server bypassed global stylesheets. Install core CSS compilers, initialize configuration files via npx tailwindcss init -p, and optimize the content array to prevent infinite loops in background folders.</t>
  </si>
  <si>
    <t xml:space="preserve">       Daniel Rhoads</t>
  </si>
  <si>
    <t>AF-203</t>
  </si>
  <si>
    <t>Build out the visual user interface layer by linking global styling rules directly to the React application mount point (src/main.jsx). Enforce strict 8px layout border-radius guidelines (0.5rem). Map custom theme tokens.</t>
  </si>
  <si>
    <t>AF-204</t>
  </si>
  <si>
    <t>AF-103</t>
  </si>
  <si>
    <t>Implement input string handling logic on the primary dashboard interface. Integrate non-blocking frontend filtering routines that instantly parse structural descriptions and asset labels against live alphanumeric keystrokes.</t>
  </si>
  <si>
    <t>AF-205</t>
  </si>
  <si>
    <t>AF-105</t>
  </si>
  <si>
    <t>Develop custom conditional evaluation elements across dataset rows to isolate low-velocity inventory assets. Quantities sinking to or below 10 remaining units must dynamically override default layouts to trigger an active visual status flag.</t>
  </si>
  <si>
    <t>AF-206</t>
  </si>
  <si>
    <t>Resolve remote head mismatch block by executing Git rebasing structures. Fix code merge conflicts in the workspace authentication file tree manually, finalize local commits, and push them to launch an error-free production deploy via Vercel.</t>
  </si>
  <si>
    <t>AF-207</t>
  </si>
  <si>
    <t>Admin</t>
  </si>
  <si>
    <t>Contacted and followed up with the Student Advisor regarding the administrative grading incident and output verification.</t>
  </si>
  <si>
    <t>AF-208</t>
  </si>
  <si>
    <t>Git source tree maintenance, WSL directory configuration, and project file alignment.</t>
  </si>
  <si>
    <t>AF-209</t>
  </si>
  <si>
    <t>Weekly Group Scrum Meeting and coordination.</t>
  </si>
  <si>
    <t>AF-210</t>
  </si>
  <si>
    <t>AF-101</t>
  </si>
  <si>
    <t>Test invalid login and authentication edge cases</t>
  </si>
  <si>
    <t>Garrett Lassalle</t>
  </si>
  <si>
    <t>AF-211</t>
  </si>
  <si>
    <t>Verify minimum password length enforcement</t>
  </si>
  <si>
    <t>AF-212</t>
  </si>
  <si>
    <t>Test script injection and invalid character handling</t>
  </si>
  <si>
    <t>AF-213</t>
  </si>
  <si>
    <t>Verify localhost integration testing environment</t>
  </si>
  <si>
    <t>AF-214</t>
  </si>
  <si>
    <t>Perform mobile viewport responsiveness testing</t>
  </si>
  <si>
    <t>AF-215</t>
  </si>
  <si>
    <t>Test user registration input validation</t>
  </si>
  <si>
    <t>AF-216</t>
  </si>
  <si>
    <t>Verify automated test timing/delays to avoid Vercel WAF blocking</t>
  </si>
  <si>
    <t>AF-217</t>
  </si>
  <si>
    <t>Test login and registration API input safety</t>
  </si>
  <si>
    <t>AF-218</t>
  </si>
  <si>
    <t>Review ISBN/SKU validation requirements</t>
  </si>
  <si>
    <t>AF-219</t>
  </si>
  <si>
    <t>Prepare inventory SKU/search validation test cases</t>
  </si>
  <si>
    <t>AF-220</t>
  </si>
  <si>
    <t>Document Sprint 2 QA validation results in /docs</t>
  </si>
  <si>
    <t>Remaining units (actual)</t>
  </si>
  <si>
    <t>Remaining units (ideal)</t>
  </si>
  <si>
    <t>Aether Flow</t>
  </si>
  <si>
    <t>What is this?</t>
  </si>
  <si>
    <t>This workbook is meant to help manage and piroritize the user stories and features using scrum.</t>
  </si>
  <si>
    <t>How to use and read this document?</t>
  </si>
  <si>
    <t xml:space="preserve">Before project start: The product owner is responsible for managing and maintaining the product backlog of user stories. </t>
  </si>
  <si>
    <t>Before each sprint: The vendor will break down the user stories into tasks.</t>
  </si>
  <si>
    <t>Notes</t>
  </si>
  <si>
    <t>Cells that you can edit have a blue background.</t>
  </si>
  <si>
    <t>Sprints are assumed to be 2 weeks long (10 working days)</t>
  </si>
  <si>
    <t>Licence</t>
  </si>
  <si>
    <t>This work is licensed under a Creative Commons Attribution-Share Alike 3.0 Unported License.</t>
  </si>
  <si>
    <t>Origins</t>
  </si>
  <si>
    <t>This work is inspired by the Scrum Template published by Nicolas Martignole on his "Touilleur Express" blog. Adapted by Olivier Gérardin.</t>
  </si>
  <si>
    <t>Organizations</t>
  </si>
  <si>
    <t>CS492 Team Project</t>
  </si>
  <si>
    <t>UI/UX Specialist &amp; Lead</t>
  </si>
  <si>
    <t>Scrum Master (Project Coordinator)</t>
  </si>
  <si>
    <t>Alex Johnston</t>
  </si>
  <si>
    <t>Logic Architect (Backend)</t>
  </si>
  <si>
    <t>Nathan Nied</t>
  </si>
  <si>
    <t>Detail-Oriented Tester (QA)</t>
  </si>
  <si>
    <t xml:space="preserve"> Story ID</t>
  </si>
  <si>
    <t>Title</t>
  </si>
  <si>
    <t>Acceptance Criteria</t>
  </si>
  <si>
    <t>Priority #</t>
  </si>
  <si>
    <t>Secure User Login</t>
  </si>
  <si>
    <t>As a Warehouse Manager, I want to login with encrypted credentials so that only authorized personnel can access the inventory.</t>
  </si>
  <si>
    <t xml:space="preserve">Password hashing implemented; HTTPS encryption active; System blocks unauthorized login attempts. </t>
  </si>
  <si>
    <t>AF-102</t>
  </si>
  <si>
    <t>Cloud Repository &amp; Version Control</t>
  </si>
  <si>
    <t>As a Developer, I want a centralized cloud repository so that the team can collaborate concurrently and maintain version control.</t>
  </si>
  <si>
    <t>GitHub repo initialized; Standard folder structure; Vercel/Hosting connected for deployment.</t>
  </si>
  <si>
    <t>Real-Time Inventory Search by SKU/Name</t>
  </si>
  <si>
    <t>As a Staff Member, I want to search items by SKU or Name so I can verify stock levels in real-time.</t>
  </si>
  <si>
    <t>Results return in &lt; 2 seconds; Search supports partial SKU matching; Filters by category.</t>
  </si>
  <si>
    <t>AF-104</t>
  </si>
  <si>
    <t>Stock Adjustment Audit Log</t>
  </si>
  <si>
    <t>As an Administrator, I want to see a log of all stock adjustments so that we have an operational record of changes.</t>
  </si>
  <si>
    <t>Log entries include User ID and Timestamp; Data is stored in a read-only format for non-admins.</t>
  </si>
  <si>
    <t xml:space="preserve">Nathan Nied </t>
  </si>
  <si>
    <t>Low-Stock Visual Alert</t>
  </si>
  <si>
    <t>As a Manager, I want a visual warning when stock is below 10 units so I know when to reorder goods.</t>
  </si>
  <si>
    <t>UI turns Alert Crimson (#D50000) for low stock; Alert triggers automatically upon quantity change.</t>
  </si>
  <si>
    <t>Daniel Rhoades</t>
  </si>
  <si>
    <t>AF-106</t>
  </si>
  <si>
    <t xml:space="preserve"> Add New Item to Inventory Catalog</t>
  </si>
  <si>
    <t>As a Staff Member, I want to add new items to the catalog so the inventory reflects current warehouse holdings.</t>
  </si>
  <si>
    <t>New SKUs saved to SQL database; Data validation ensures ISBN/SKU format is correct.</t>
  </si>
  <si>
    <t>Nathan Nied &amp; Garrett Lassalle</t>
  </si>
  <si>
    <t>T101</t>
  </si>
  <si>
    <t>Create GitHub Repo &amp; Invite Team</t>
  </si>
  <si>
    <t>Daniel</t>
  </si>
  <si>
    <t>T102</t>
  </si>
  <si>
    <t>Design Encrypted SQL User Tables</t>
  </si>
  <si>
    <t xml:space="preserve">Nathan </t>
  </si>
  <si>
    <t>T103</t>
  </si>
  <si>
    <t>Code Login Screen UI (Aether Blue)</t>
  </si>
  <si>
    <t xml:space="preserve">Daniel </t>
  </si>
  <si>
    <t>T104</t>
  </si>
  <si>
    <t>Implement JWT/Password Hashing</t>
  </si>
  <si>
    <t>Nathan</t>
  </si>
  <si>
    <t>T105</t>
  </si>
  <si>
    <t>Map User Stories to Personas</t>
  </si>
  <si>
    <t xml:space="preserve">Jesus </t>
  </si>
  <si>
    <t>T106</t>
  </si>
  <si>
    <t>Draft Security Test Plan for login system</t>
  </si>
  <si>
    <t>Garrett</t>
  </si>
  <si>
    <t>T107</t>
  </si>
  <si>
    <t>Initialize Kanban/Sprint Board</t>
  </si>
  <si>
    <t>Alex</t>
  </si>
  <si>
    <t>T108</t>
  </si>
  <si>
    <t>Test invalid login handeling</t>
  </si>
  <si>
    <t>T109</t>
  </si>
  <si>
    <t>Verify password validation requirements</t>
  </si>
  <si>
    <t>T110</t>
  </si>
  <si>
    <t>Review ISBN/SKU validation requiremnts</t>
  </si>
  <si>
    <t>T111</t>
  </si>
  <si>
    <t>Test duplicate SKU rejection handeling</t>
  </si>
  <si>
    <t>T112</t>
  </si>
  <si>
    <t xml:space="preserve"> Verify role-based access permissions</t>
  </si>
  <si>
    <t>T113</t>
  </si>
  <si>
    <t>Document bugs and validation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</si>
</sst>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d\ dd/mm"/>
  </numFmts>
  <fonts count="19" x14ac:knownFonts="1">
    <font>
      <sz val="10"/>
      <name val="Arial"/>
    </font>
    <font>
      <b/>
      <sz val="10"/>
      <name val="Arial"/>
      <family val="2"/>
    </font>
    <font>
      <b/>
      <i/>
      <sz val="10"/>
      <name val="Arial"/>
      <family val="2"/>
    </font>
    <font>
      <u/>
      <sz val="10"/>
      <color indexed="12"/>
      <name val="Arial"/>
      <family val="2"/>
    </font>
    <font>
      <sz val="10"/>
      <name val="Arial"/>
      <family val="2"/>
    </font>
    <font>
      <i/>
      <sz val="10"/>
      <name val="Arial"/>
      <family val="2"/>
    </font>
    <font>
      <sz val="14"/>
      <color indexed="9"/>
      <name val="Arial"/>
      <family val="2"/>
    </font>
    <font>
      <sz val="12"/>
      <name val="Times New Roman"/>
      <family val="1"/>
    </font>
    <font>
      <sz val="12"/>
      <color indexed="9"/>
      <name val="Times New Roman"/>
      <family val="1"/>
    </font>
    <font>
      <b/>
      <sz val="12"/>
      <name val="Times New Roman"/>
      <family val="1"/>
    </font>
    <font>
      <i/>
      <sz val="12"/>
      <name val="Times New Roman"/>
      <family val="1"/>
    </font>
    <font>
      <b/>
      <i/>
      <sz val="12"/>
      <name val="Times New Roman"/>
      <family val="1"/>
    </font>
    <font>
      <sz val="10"/>
      <name val="Calibri"/>
      <family val="2"/>
      <scheme val="minor"/>
    </font>
    <font>
      <b/>
      <i/>
      <sz val="10"/>
      <name val="Calibri"/>
      <family val="2"/>
      <scheme val="minor"/>
    </font>
    <font>
      <u/>
      <sz val="10"/>
      <color indexed="12"/>
      <name val="Calibri"/>
      <family val="2"/>
      <scheme val="minor"/>
    </font>
    <font>
      <b/>
      <sz val="10"/>
      <name val="Calibri"/>
      <family val="2"/>
      <scheme val="minor"/>
    </font>
    <font>
      <sz val="10"/>
      <color indexed="8"/>
      <name val="Calibri"/>
      <family val="2"/>
      <scheme val="minor"/>
    </font>
    <font>
      <sz val="14"/>
      <color indexed="9"/>
      <name val="Calibri"/>
      <family val="2"/>
      <scheme val="minor"/>
    </font>
    <font>
      <b/>
      <sz val="10"/>
      <name val="Arial"/>
    </font>
  </fonts>
  <fills count="7">
    <fill>
      <patternFill patternType="none"/>
    </fill>
    <fill>
      <patternFill patternType="gray125"/>
    </fill>
    <fill>
      <patternFill patternType="solid">
        <fgColor indexed="22"/>
        <bgColor indexed="64"/>
      </patternFill>
    </fill>
    <fill>
      <patternFill patternType="solid">
        <fgColor indexed="41"/>
        <bgColor indexed="64"/>
      </patternFill>
    </fill>
    <fill>
      <patternFill patternType="solid">
        <fgColor indexed="23"/>
        <bgColor indexed="64"/>
      </patternFill>
    </fill>
    <fill>
      <patternFill patternType="solid">
        <fgColor theme="1" tint="0.499984740745262"/>
        <bgColor indexed="64"/>
      </patternFill>
    </fill>
    <fill>
      <patternFill patternType="solid">
        <fgColor rgb="FFFFFFFF"/>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3" fillId="0" borderId="0">
      <alignment vertical="top"/>
      <protection locked="0"/>
    </xf>
  </cellStyleXfs>
  <cellXfs count="102">
    <xf numFmtId="0" fontId="0" fillId="0" borderId="0" xfId="0"/>
    <xf numFmtId="0" fontId="0" fillId="0" borderId="0" xfId="0" applyAlignment="1">
      <alignment wrapText="1"/>
    </xf>
    <xf numFmtId="0" fontId="0" fillId="0" borderId="0" xfId="0" applyAlignment="1">
      <alignment horizontal="center"/>
    </xf>
    <xf numFmtId="0" fontId="1" fillId="0" borderId="0" xfId="0" applyFont="1" applyAlignment="1">
      <alignment vertical="top" wrapText="1"/>
    </xf>
    <xf numFmtId="0" fontId="0" fillId="0" borderId="0" xfId="0" applyAlignment="1">
      <alignment horizontal="center" vertical="top"/>
    </xf>
    <xf numFmtId="0" fontId="0" fillId="0" borderId="0" xfId="0" applyAlignment="1">
      <alignment vertical="top"/>
    </xf>
    <xf numFmtId="0" fontId="0" fillId="0" borderId="0" xfId="0" applyAlignment="1">
      <alignment vertical="top" wrapText="1"/>
    </xf>
    <xf numFmtId="0" fontId="0" fillId="0" borderId="0" xfId="0" applyAlignment="1" applyProtection="1">
      <alignment horizontal="center" vertical="top"/>
      <protection hidden="1"/>
    </xf>
    <xf numFmtId="0" fontId="0" fillId="0" borderId="0" xfId="0" applyAlignment="1" applyProtection="1">
      <alignment vertical="top"/>
      <protection locked="0"/>
    </xf>
    <xf numFmtId="0" fontId="1" fillId="0" borderId="1" xfId="0" applyFont="1" applyBorder="1" applyAlignment="1">
      <alignment horizontal="center" vertical="top"/>
    </xf>
    <xf numFmtId="164" fontId="1" fillId="0" borderId="1" xfId="0" applyNumberFormat="1" applyFont="1" applyBorder="1" applyAlignment="1">
      <alignment horizontal="center" vertical="top"/>
    </xf>
    <xf numFmtId="0" fontId="1" fillId="2" borderId="1" xfId="0" applyFont="1" applyFill="1" applyBorder="1" applyAlignment="1">
      <alignment horizontal="center" vertical="top" wrapText="1"/>
    </xf>
    <xf numFmtId="0" fontId="1" fillId="2" borderId="1" xfId="0" applyFont="1" applyFill="1" applyBorder="1" applyAlignment="1">
      <alignment vertical="top" wrapText="1"/>
    </xf>
    <xf numFmtId="0" fontId="0" fillId="0" borderId="0" xfId="0" applyAlignment="1">
      <alignment horizontal="center" wrapText="1"/>
    </xf>
    <xf numFmtId="0" fontId="4" fillId="0" borderId="0" xfId="0" applyFont="1" applyAlignment="1">
      <alignment wrapText="1"/>
    </xf>
    <xf numFmtId="0" fontId="2" fillId="0" borderId="0" xfId="0" applyFont="1" applyAlignment="1">
      <alignment wrapText="1"/>
    </xf>
    <xf numFmtId="0" fontId="2" fillId="0" borderId="0" xfId="0" applyFont="1" applyAlignment="1">
      <alignment horizontal="center" vertical="top" wrapText="1"/>
    </xf>
    <xf numFmtId="0" fontId="1" fillId="2" borderId="2" xfId="0" applyFont="1" applyFill="1" applyBorder="1" applyAlignment="1">
      <alignment horizontal="center" vertical="top" wrapText="1"/>
    </xf>
    <xf numFmtId="0" fontId="1" fillId="2" borderId="3" xfId="0" applyFont="1" applyFill="1" applyBorder="1" applyAlignment="1">
      <alignment vertical="top" wrapText="1"/>
    </xf>
    <xf numFmtId="0" fontId="1" fillId="2" borderId="3" xfId="0" applyFont="1" applyFill="1" applyBorder="1" applyAlignment="1">
      <alignment horizontal="center" vertical="top" wrapText="1"/>
    </xf>
    <xf numFmtId="0" fontId="1" fillId="2" borderId="4" xfId="0" applyFont="1" applyFill="1" applyBorder="1" applyAlignment="1">
      <alignment horizontal="center" vertical="top" wrapText="1"/>
    </xf>
    <xf numFmtId="165" fontId="1" fillId="2" borderId="3" xfId="0" applyNumberFormat="1" applyFont="1" applyFill="1" applyBorder="1" applyAlignment="1">
      <alignment horizontal="center" vertical="top" wrapText="1"/>
    </xf>
    <xf numFmtId="0" fontId="0" fillId="3" borderId="1" xfId="0" applyFill="1" applyBorder="1" applyAlignment="1" applyProtection="1">
      <alignment horizontal="center" vertical="top"/>
      <protection locked="0"/>
    </xf>
    <xf numFmtId="14" fontId="0" fillId="3" borderId="1" xfId="0" applyNumberFormat="1" applyFill="1" applyBorder="1" applyAlignment="1" applyProtection="1">
      <alignment horizontal="center" vertical="top"/>
      <protection locked="0"/>
    </xf>
    <xf numFmtId="0" fontId="0" fillId="3" borderId="5" xfId="0" applyFill="1" applyBorder="1" applyAlignment="1" applyProtection="1">
      <alignment horizontal="center" vertical="top"/>
      <protection locked="0"/>
    </xf>
    <xf numFmtId="0" fontId="0" fillId="3" borderId="6" xfId="0" applyFill="1" applyBorder="1" applyAlignment="1" applyProtection="1">
      <alignment horizontal="center" vertical="top"/>
      <protection locked="0"/>
    </xf>
    <xf numFmtId="165" fontId="1" fillId="2" borderId="7" xfId="0" applyNumberFormat="1" applyFont="1" applyFill="1" applyBorder="1" applyAlignment="1">
      <alignment horizontal="center" vertical="top" wrapText="1"/>
    </xf>
    <xf numFmtId="0" fontId="4" fillId="3" borderId="9" xfId="0" applyFont="1" applyFill="1" applyBorder="1" applyAlignment="1" applyProtection="1">
      <alignment horizontal="center" vertical="top"/>
      <protection locked="0"/>
    </xf>
    <xf numFmtId="0" fontId="4" fillId="3" borderId="1" xfId="0" applyFont="1" applyFill="1" applyBorder="1" applyAlignment="1" applyProtection="1">
      <alignment horizontal="center" vertical="top"/>
      <protection locked="0"/>
    </xf>
    <xf numFmtId="0" fontId="4" fillId="3" borderId="1" xfId="0" applyFont="1" applyFill="1" applyBorder="1" applyAlignment="1" applyProtection="1">
      <alignment vertical="top" wrapText="1"/>
      <protection locked="0"/>
    </xf>
    <xf numFmtId="0" fontId="4" fillId="3" borderId="10" xfId="0" applyFont="1" applyFill="1" applyBorder="1" applyAlignment="1" applyProtection="1">
      <alignment horizontal="center" vertical="top"/>
      <protection locked="0"/>
    </xf>
    <xf numFmtId="0" fontId="4" fillId="0" borderId="0" xfId="0" applyFont="1" applyAlignment="1" applyProtection="1">
      <alignment vertical="top"/>
      <protection locked="0"/>
    </xf>
    <xf numFmtId="0" fontId="1" fillId="2" borderId="1" xfId="0" applyFont="1" applyFill="1" applyBorder="1" applyAlignment="1">
      <alignment horizontal="center"/>
    </xf>
    <xf numFmtId="0" fontId="12" fillId="0" borderId="0" xfId="0" applyFont="1" applyAlignment="1">
      <alignment horizontal="center" wrapText="1"/>
    </xf>
    <xf numFmtId="0" fontId="13" fillId="0" borderId="0" xfId="0" applyFont="1" applyAlignment="1">
      <alignment horizontal="center" vertical="top" wrapText="1"/>
    </xf>
    <xf numFmtId="0" fontId="12" fillId="0" borderId="0" xfId="0" applyFont="1" applyAlignment="1">
      <alignment wrapText="1"/>
    </xf>
    <xf numFmtId="0" fontId="13" fillId="0" borderId="0" xfId="0" applyFont="1" applyAlignment="1">
      <alignment wrapText="1"/>
    </xf>
    <xf numFmtId="0" fontId="14" fillId="0" borderId="0" xfId="1" applyFont="1" applyAlignment="1" applyProtection="1">
      <alignment wrapText="1"/>
    </xf>
    <xf numFmtId="0" fontId="12" fillId="0" borderId="0" xfId="0" applyFont="1" applyAlignment="1">
      <alignment horizontal="center" vertical="top" wrapText="1"/>
    </xf>
    <xf numFmtId="0" fontId="15" fillId="0" borderId="0" xfId="0" applyFont="1" applyAlignment="1">
      <alignment wrapText="1"/>
    </xf>
    <xf numFmtId="0" fontId="12" fillId="3" borderId="0" xfId="0" applyFont="1" applyFill="1" applyAlignment="1">
      <alignment wrapText="1"/>
    </xf>
    <xf numFmtId="0" fontId="16" fillId="0" borderId="0" xfId="0" applyFont="1"/>
    <xf numFmtId="0" fontId="7" fillId="0" borderId="0" xfId="0" applyFont="1"/>
    <xf numFmtId="0" fontId="7" fillId="0" borderId="0" xfId="0" applyFont="1" applyAlignment="1">
      <alignment horizontal="center"/>
    </xf>
    <xf numFmtId="0" fontId="11" fillId="0" borderId="0" xfId="0" applyFont="1" applyAlignment="1">
      <alignment vertical="center"/>
    </xf>
    <xf numFmtId="0" fontId="11" fillId="5" borderId="14" xfId="0" applyFont="1" applyFill="1" applyBorder="1" applyAlignment="1">
      <alignment horizontal="center" vertical="center"/>
    </xf>
    <xf numFmtId="0" fontId="11" fillId="5" borderId="13" xfId="0" applyFont="1" applyFill="1" applyBorder="1" applyAlignment="1">
      <alignment horizontal="center" vertical="center"/>
    </xf>
    <xf numFmtId="0" fontId="9" fillId="2" borderId="1" xfId="0" applyFont="1" applyFill="1" applyBorder="1" applyAlignment="1">
      <alignment horizontal="center" vertical="center"/>
    </xf>
    <xf numFmtId="0" fontId="10" fillId="3" borderId="11" xfId="0" applyFont="1" applyFill="1" applyBorder="1" applyAlignment="1">
      <alignment horizontal="center" vertical="center"/>
    </xf>
    <xf numFmtId="0" fontId="1" fillId="2" borderId="11" xfId="0" applyFont="1" applyFill="1" applyBorder="1" applyAlignment="1">
      <alignment horizontal="center"/>
    </xf>
    <xf numFmtId="0" fontId="1" fillId="2" borderId="16" xfId="0" applyFont="1" applyFill="1" applyBorder="1" applyAlignment="1">
      <alignment vertical="top" wrapText="1"/>
    </xf>
    <xf numFmtId="0" fontId="4" fillId="3" borderId="11" xfId="0" applyFont="1" applyFill="1" applyBorder="1" applyAlignment="1" applyProtection="1">
      <alignment vertical="top" wrapText="1"/>
      <protection locked="0"/>
    </xf>
    <xf numFmtId="0" fontId="1" fillId="2" borderId="5" xfId="0" applyFont="1" applyFill="1" applyBorder="1" applyAlignment="1">
      <alignment vertical="top" wrapText="1"/>
    </xf>
    <xf numFmtId="0" fontId="1" fillId="2" borderId="13" xfId="0" applyFont="1" applyFill="1" applyBorder="1" applyAlignment="1">
      <alignment vertical="top" wrapText="1"/>
    </xf>
    <xf numFmtId="0" fontId="1" fillId="2" borderId="17" xfId="0" applyFont="1" applyFill="1" applyBorder="1" applyAlignment="1">
      <alignment horizontal="center" vertical="top"/>
    </xf>
    <xf numFmtId="0" fontId="1" fillId="2" borderId="18" xfId="0" applyFont="1" applyFill="1" applyBorder="1" applyAlignment="1">
      <alignment horizontal="center" vertical="top"/>
    </xf>
    <xf numFmtId="0" fontId="4" fillId="3" borderId="21" xfId="0" applyFont="1" applyFill="1" applyBorder="1" applyAlignment="1" applyProtection="1">
      <alignment horizontal="center" vertical="top"/>
      <protection locked="0"/>
    </xf>
    <xf numFmtId="0" fontId="10" fillId="0" borderId="11" xfId="0" applyFont="1" applyBorder="1" applyAlignment="1">
      <alignment horizontal="center" vertical="center"/>
    </xf>
    <xf numFmtId="0" fontId="10" fillId="3" borderId="11" xfId="0" applyFont="1" applyFill="1" applyBorder="1" applyAlignment="1">
      <alignment horizontal="left" vertical="center" wrapText="1"/>
    </xf>
    <xf numFmtId="0" fontId="0" fillId="0" borderId="0" xfId="0" applyAlignment="1">
      <alignment horizontal="center" vertical="top" wrapText="1"/>
    </xf>
    <xf numFmtId="0" fontId="0" fillId="0" borderId="0" xfId="0" applyAlignment="1">
      <alignment horizontal="left" vertical="top" wrapText="1"/>
    </xf>
    <xf numFmtId="0" fontId="4" fillId="3" borderId="5" xfId="0" applyFont="1" applyFill="1" applyBorder="1" applyAlignment="1" applyProtection="1">
      <alignment vertical="top" wrapText="1"/>
      <protection locked="0"/>
    </xf>
    <xf numFmtId="0" fontId="4" fillId="3" borderId="6" xfId="0" applyFont="1" applyFill="1" applyBorder="1" applyAlignment="1" applyProtection="1">
      <alignment vertical="top" wrapText="1"/>
      <protection locked="0"/>
    </xf>
    <xf numFmtId="0" fontId="4" fillId="3" borderId="15" xfId="0" applyFont="1" applyFill="1" applyBorder="1" applyAlignment="1" applyProtection="1">
      <alignment vertical="top" wrapText="1"/>
      <protection locked="0"/>
    </xf>
    <xf numFmtId="0" fontId="4" fillId="3" borderId="8" xfId="0" applyFont="1" applyFill="1" applyBorder="1" applyAlignment="1" applyProtection="1">
      <alignment horizontal="center" vertical="top"/>
      <protection locked="0"/>
    </xf>
    <xf numFmtId="0" fontId="4" fillId="3" borderId="22" xfId="0" applyFont="1" applyFill="1" applyBorder="1" applyAlignment="1" applyProtection="1">
      <alignment horizontal="center" vertical="top"/>
      <protection locked="0"/>
    </xf>
    <xf numFmtId="0" fontId="4" fillId="0" borderId="0" xfId="0" applyFont="1" applyAlignment="1">
      <alignment horizontal="left" vertical="top" wrapText="1"/>
    </xf>
    <xf numFmtId="0" fontId="4" fillId="0" borderId="0" xfId="0" applyFont="1" applyAlignment="1">
      <alignment horizontal="center" vertical="top" wrapText="1"/>
    </xf>
    <xf numFmtId="0" fontId="10" fillId="3" borderId="15" xfId="0" applyFont="1" applyFill="1" applyBorder="1" applyAlignment="1">
      <alignment horizontal="center" vertical="center"/>
    </xf>
    <xf numFmtId="0" fontId="4" fillId="3" borderId="6" xfId="0" applyFont="1" applyFill="1" applyBorder="1" applyAlignment="1" applyProtection="1">
      <alignment horizontal="center" vertical="top"/>
      <protection locked="0"/>
    </xf>
    <xf numFmtId="0" fontId="18" fillId="2" borderId="2" xfId="0" applyFont="1" applyFill="1" applyBorder="1" applyAlignment="1">
      <alignment horizontal="center" vertical="top" wrapText="1"/>
    </xf>
    <xf numFmtId="0" fontId="18" fillId="2" borderId="3" xfId="0" applyFont="1" applyFill="1" applyBorder="1" applyAlignment="1">
      <alignment horizontal="center" vertical="top" wrapText="1"/>
    </xf>
    <xf numFmtId="0" fontId="18" fillId="2" borderId="3" xfId="0" applyFont="1" applyFill="1" applyBorder="1" applyAlignment="1">
      <alignment vertical="top" wrapText="1"/>
    </xf>
    <xf numFmtId="0" fontId="18" fillId="2" borderId="16" xfId="0" applyFont="1" applyFill="1" applyBorder="1" applyAlignment="1">
      <alignment vertical="top" wrapText="1"/>
    </xf>
    <xf numFmtId="0" fontId="18" fillId="2" borderId="4" xfId="0" applyFont="1" applyFill="1" applyBorder="1" applyAlignment="1">
      <alignment horizontal="center" vertical="top" wrapText="1"/>
    </xf>
    <xf numFmtId="165" fontId="18" fillId="2" borderId="7" xfId="0" applyNumberFormat="1" applyFont="1" applyFill="1" applyBorder="1" applyAlignment="1">
      <alignment horizontal="center" vertical="top" wrapText="1"/>
    </xf>
    <xf numFmtId="165" fontId="18" fillId="2" borderId="3" xfId="0" applyNumberFormat="1" applyFont="1" applyFill="1" applyBorder="1" applyAlignment="1">
      <alignment horizontal="center" vertical="top" wrapText="1"/>
    </xf>
    <xf numFmtId="0" fontId="4" fillId="3" borderId="1" xfId="0" applyFont="1" applyFill="1" applyBorder="1" applyAlignment="1" applyProtection="1">
      <alignment horizontal="center" vertical="top" wrapText="1"/>
      <protection locked="0"/>
    </xf>
    <xf numFmtId="0" fontId="4" fillId="3" borderId="11" xfId="0" applyFont="1" applyFill="1" applyBorder="1" applyAlignment="1" applyProtection="1">
      <alignment horizontal="center" vertical="top" wrapText="1"/>
      <protection locked="0"/>
    </xf>
    <xf numFmtId="0" fontId="4" fillId="3" borderId="5" xfId="0" applyFont="1" applyFill="1" applyBorder="1" applyAlignment="1" applyProtection="1">
      <alignment horizontal="center" vertical="top" wrapText="1"/>
      <protection locked="0"/>
    </xf>
    <xf numFmtId="0" fontId="4" fillId="3" borderId="15" xfId="0" applyFont="1" applyFill="1" applyBorder="1" applyAlignment="1" applyProtection="1">
      <alignment horizontal="center" vertical="top" wrapText="1"/>
      <protection locked="0"/>
    </xf>
    <xf numFmtId="0" fontId="4" fillId="3" borderId="6" xfId="0" applyFont="1" applyFill="1" applyBorder="1" applyAlignment="1" applyProtection="1">
      <alignment horizontal="center" vertical="top" wrapText="1"/>
      <protection locked="0"/>
    </xf>
    <xf numFmtId="0" fontId="0" fillId="6" borderId="0" xfId="0" applyFill="1"/>
    <xf numFmtId="0" fontId="0" fillId="6" borderId="0" xfId="0" applyFill="1" applyAlignment="1">
      <alignment wrapText="1"/>
    </xf>
    <xf numFmtId="0" fontId="6" fillId="4" borderId="0" xfId="0" applyFont="1" applyFill="1" applyAlignment="1">
      <alignment horizontal="center" vertical="center" wrapText="1"/>
    </xf>
    <xf numFmtId="0" fontId="0" fillId="0" borderId="0" xfId="0" applyAlignment="1">
      <alignment vertical="top"/>
    </xf>
    <xf numFmtId="0" fontId="0" fillId="0" borderId="0" xfId="0" applyAlignment="1">
      <alignment vertical="top" wrapText="1"/>
    </xf>
    <xf numFmtId="0" fontId="0" fillId="0" borderId="0" xfId="0" applyAlignment="1">
      <alignment horizontal="center" vertical="top"/>
    </xf>
    <xf numFmtId="0" fontId="1" fillId="0" borderId="1" xfId="0" applyFont="1" applyBorder="1" applyAlignment="1">
      <alignment horizontal="center" vertical="center"/>
    </xf>
    <xf numFmtId="0" fontId="0" fillId="0" borderId="13" xfId="0" applyBorder="1"/>
    <xf numFmtId="0" fontId="1" fillId="2" borderId="23" xfId="0" applyFont="1" applyFill="1" applyBorder="1" applyAlignment="1">
      <alignment horizontal="center" vertical="top"/>
    </xf>
    <xf numFmtId="0" fontId="0" fillId="0" borderId="19" xfId="0" applyBorder="1"/>
    <xf numFmtId="0" fontId="0" fillId="0" borderId="20" xfId="0" applyBorder="1"/>
    <xf numFmtId="0" fontId="5" fillId="3" borderId="1" xfId="0" applyFont="1" applyFill="1" applyBorder="1" applyAlignment="1">
      <alignment horizontal="center"/>
    </xf>
    <xf numFmtId="0" fontId="0" fillId="0" borderId="12" xfId="0" applyBorder="1"/>
    <xf numFmtId="0" fontId="0" fillId="0" borderId="10" xfId="0" applyBorder="1"/>
    <xf numFmtId="0" fontId="17" fillId="4" borderId="0" xfId="0" applyFont="1" applyFill="1" applyAlignment="1">
      <alignment horizontal="center" vertical="center" wrapText="1"/>
    </xf>
    <xf numFmtId="0" fontId="0" fillId="0" borderId="0" xfId="0" applyAlignment="1">
      <alignment horizontal="center" wrapText="1"/>
    </xf>
    <xf numFmtId="0" fontId="8" fillId="4" borderId="0" xfId="0" applyFont="1" applyFill="1" applyAlignment="1">
      <alignment horizontal="center" vertical="center" wrapText="1"/>
    </xf>
    <xf numFmtId="0" fontId="7" fillId="0" borderId="0" xfId="0" applyFont="1"/>
    <xf numFmtId="0" fontId="7" fillId="0" borderId="0" xfId="0" applyFont="1" applyAlignment="1">
      <alignment horizontal="center"/>
    </xf>
    <xf numFmtId="0" fontId="0" fillId="0" borderId="0" xfId="0" applyAlignment="1"/>
  </cellXfs>
  <cellStyles count="2">
    <cellStyle name="Hyperlink" xfId="1" builtinId="8"/>
    <cellStyle name="Normal" xfId="0" builtinId="0"/>
  </cellStyles>
  <dxfs count="13">
    <dxf>
      <font>
        <condense val="0"/>
        <extend val="0"/>
        <color indexed="10"/>
      </font>
    </dxf>
    <dxf>
      <font>
        <condense val="0"/>
        <extend val="0"/>
        <color indexed="57"/>
      </font>
    </dxf>
    <dxf>
      <font>
        <i/>
        <sz val="12"/>
        <name val="Times New Roman"/>
      </font>
      <fill>
        <patternFill patternType="solid">
          <fgColor indexed="64"/>
          <bgColor indexed="41"/>
        </patternFill>
      </fill>
      <alignment horizontal="center" vertical="center"/>
      <border>
        <left style="thin">
          <color indexed="64"/>
        </left>
        <right/>
        <top style="thin">
          <color indexed="64"/>
        </top>
        <bottom style="thin">
          <color indexed="64"/>
        </bottom>
        <vertical/>
        <horizontal/>
      </border>
    </dxf>
    <dxf>
      <font>
        <i/>
        <strike val="0"/>
        <condense val="0"/>
        <extend val="0"/>
        <outline val="0"/>
        <shadow val="0"/>
        <vertAlign val="baseline"/>
        <sz val="12"/>
        <color auto="1"/>
        <name val="Times New Roman"/>
      </font>
      <fill>
        <patternFill patternType="solid">
          <fgColor indexed="64"/>
          <bgColor indexed="41"/>
        </patternFill>
      </fill>
      <alignment horizontal="center" vertical="center"/>
      <border>
        <left style="thin">
          <color indexed="64"/>
        </left>
        <right/>
        <top style="thin">
          <color indexed="64"/>
        </top>
        <bottom style="thin">
          <color indexed="64"/>
        </bottom>
        <vertical/>
        <horizontal/>
      </border>
    </dxf>
    <dxf>
      <font>
        <i/>
        <strike val="0"/>
        <condense val="0"/>
        <extend val="0"/>
        <outline val="0"/>
        <shadow val="0"/>
        <vertAlign val="baseline"/>
        <sz val="12"/>
        <color auto="1"/>
        <name val="Times New Roman"/>
      </font>
      <fill>
        <patternFill patternType="solid">
          <fgColor indexed="64"/>
          <bgColor indexed="41"/>
        </patternFill>
      </fill>
      <alignment horizontal="center" vertical="center"/>
      <border>
        <left style="thin">
          <color indexed="64"/>
        </left>
        <right/>
        <top style="thin">
          <color indexed="64"/>
        </top>
        <bottom style="thin">
          <color indexed="64"/>
        </bottom>
        <vertical/>
        <horizontal/>
      </border>
    </dxf>
    <dxf>
      <font>
        <i/>
        <strike val="0"/>
        <condense val="0"/>
        <extend val="0"/>
        <outline val="0"/>
        <shadow val="0"/>
        <vertAlign val="baseline"/>
        <sz val="12"/>
        <color auto="1"/>
        <name val="Times New Roman"/>
      </font>
      <fill>
        <patternFill patternType="solid">
          <fgColor indexed="64"/>
          <bgColor indexed="41"/>
        </patternFill>
      </fill>
      <alignment horizontal="center" vertical="center"/>
      <border>
        <left style="thin">
          <color indexed="64"/>
        </left>
        <right/>
        <top style="thin">
          <color indexed="64"/>
        </top>
        <bottom style="thin">
          <color indexed="64"/>
        </bottom>
        <vertical/>
        <horizontal/>
      </border>
    </dxf>
    <dxf>
      <font>
        <i/>
        <strike val="0"/>
        <condense val="0"/>
        <extend val="0"/>
        <outline val="0"/>
        <shadow val="0"/>
        <vertAlign val="baseline"/>
        <sz val="12"/>
        <color auto="1"/>
        <name val="Times New Roman"/>
      </font>
      <fill>
        <patternFill patternType="solid">
          <fgColor indexed="64"/>
          <bgColor indexed="41"/>
        </patternFill>
      </fill>
      <alignment horizontal="center" vertical="center"/>
      <border>
        <left style="thin">
          <color indexed="64"/>
        </left>
        <right/>
        <top style="thin">
          <color indexed="64"/>
        </top>
        <bottom style="thin">
          <color indexed="64"/>
        </bottom>
        <vertical/>
        <horizontal/>
      </border>
    </dxf>
    <dxf>
      <font>
        <i/>
        <strike val="0"/>
        <condense val="0"/>
        <extend val="0"/>
        <outline val="0"/>
        <shadow val="0"/>
        <vertAlign val="baseline"/>
        <sz val="12"/>
        <color auto="1"/>
        <name val="Times New Roman"/>
      </font>
      <fill>
        <patternFill patternType="solid">
          <fgColor indexed="64"/>
          <bgColor indexed="41"/>
        </patternFill>
      </fill>
      <alignment horizontal="center" vertical="center"/>
      <border>
        <left style="thin">
          <color indexed="64"/>
        </left>
        <right/>
        <top style="thin">
          <color indexed="64"/>
        </top>
        <bottom style="thin">
          <color indexed="64"/>
        </bottom>
        <vertical/>
        <horizontal/>
      </border>
    </dxf>
    <dxf>
      <font>
        <i/>
        <strike val="0"/>
        <condense val="0"/>
        <extend val="0"/>
        <outline val="0"/>
        <shadow val="0"/>
        <vertAlign val="baseline"/>
        <sz val="12"/>
        <color auto="1"/>
        <name val="Times New Roman"/>
      </font>
      <fill>
        <patternFill patternType="solid">
          <fgColor indexed="64"/>
          <bgColor indexed="41"/>
        </patternFill>
      </fill>
      <alignment horizontal="center" vertical="center"/>
      <border>
        <left style="thin">
          <color indexed="64"/>
        </left>
        <right/>
        <top style="thin">
          <color indexed="64"/>
        </top>
        <bottom style="thin">
          <color indexed="64"/>
        </bottom>
        <vertical/>
        <horizontal/>
      </border>
    </dxf>
    <dxf>
      <border outline="0">
        <left style="thin">
          <color indexed="64"/>
        </left>
        <right style="thin">
          <color indexed="64"/>
        </right>
        <top style="thin">
          <color indexed="64"/>
        </top>
      </border>
    </dxf>
    <dxf>
      <font>
        <i/>
        <strike val="0"/>
        <condense val="0"/>
        <extend val="0"/>
        <outline val="0"/>
        <shadow val="0"/>
        <vertAlign val="baseline"/>
        <sz val="12"/>
        <color auto="1"/>
        <name val="Times New Roman"/>
      </font>
      <fill>
        <patternFill patternType="solid">
          <fgColor indexed="64"/>
          <bgColor indexed="41"/>
        </patternFill>
      </fill>
      <alignment horizontal="center" vertical="center"/>
    </dxf>
    <dxf>
      <border outline="0">
        <bottom style="thin">
          <color indexed="64"/>
        </bottom>
      </border>
    </dxf>
    <dxf>
      <font>
        <b/>
        <i/>
        <strike val="0"/>
        <condense val="0"/>
        <extend val="0"/>
        <outline val="0"/>
        <shadow val="0"/>
        <vertAlign val="baseline"/>
        <sz val="12"/>
        <color auto="1"/>
        <name val="Times New Roman"/>
      </font>
      <fill>
        <patternFill patternType="solid">
          <fgColor indexed="64"/>
          <bgColor theme="1" tint="0.499984740745262"/>
        </patternFill>
      </fill>
      <alignment horizontal="center" vertical="center"/>
      <border outline="0">
        <left style="thin">
          <color indexed="64"/>
        </left>
        <right style="thin">
          <color indexed="64"/>
        </right>
        <top/>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200" b="1" i="0" strike="noStrike" baseline="0">
                <a:solidFill>
                  <a:srgbClr val="000000"/>
                </a:solidFill>
                <a:latin typeface="Arial"/>
                <a:ea typeface="Arial"/>
                <a:cs typeface="Arial"/>
              </a:defRPr>
            </a:pPr>
            <a:r>
              <a:rPr lang="en-US"/>
              <a:t>Burndown Chart </a:t>
            </a:r>
          </a:p>
        </c:rich>
      </c:tx>
      <c:layout>
        <c:manualLayout>
          <c:xMode val="edge"/>
          <c:yMode val="edge"/>
          <c:x val="0.40353269043616741"/>
          <c:y val="4.2895471399408407E-2"/>
        </c:manualLayout>
      </c:layout>
      <c:overlay val="0"/>
      <c:spPr>
        <a:noFill/>
        <a:ln w="25400">
          <a:noFill/>
          <a:prstDash val="solid"/>
        </a:ln>
      </c:spPr>
    </c:title>
    <c:autoTitleDeleted val="0"/>
    <c:plotArea>
      <c:layout>
        <c:manualLayout>
          <c:layoutTarget val="inner"/>
          <c:xMode val="edge"/>
          <c:yMode val="edge"/>
          <c:x val="0.10375104659638951"/>
          <c:y val="0.1863308454521361"/>
          <c:w val="0.88043536671206712"/>
          <c:h val="0.66219925828279247"/>
        </c:manualLayout>
      </c:layout>
      <c:lineChart>
        <c:grouping val="standard"/>
        <c:varyColors val="0"/>
        <c:ser>
          <c:idx val="0"/>
          <c:order val="0"/>
          <c:spPr>
            <a:ln w="12700">
              <a:solidFill>
                <a:srgbClr val="000090"/>
              </a:solidFill>
              <a:prstDash val="solid"/>
            </a:ln>
          </c:spPr>
          <c:marker>
            <c:symbol val="diamond"/>
            <c:size val="5"/>
            <c:spPr>
              <a:solidFill>
                <a:srgbClr val="000090"/>
              </a:solidFill>
              <a:ln>
                <a:solidFill>
                  <a:srgbClr val="000090"/>
                </a:solidFill>
                <a:prstDash val="solid"/>
              </a:ln>
            </c:spPr>
          </c:marker>
          <c:dLbls>
            <c:spPr>
              <a:noFill/>
              <a:ln w="25400">
                <a:noFill/>
                <a:prstDash val="solid"/>
              </a:ln>
            </c:spPr>
            <c:txPr>
              <a:bodyPr wrap="square" lIns="38100" tIns="19050" rIns="38100" bIns="19050" anchor="ctr">
                <a:spAutoFit/>
              </a:bodyPr>
              <a:lstStyle/>
              <a:p>
                <a:pPr>
                  <a:defRPr sz="1125" b="0" i="0"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'Sprint 1'!$F$20:$S$20</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1"/>
          <c:extLst>
            <c:ext xmlns:c16="http://schemas.microsoft.com/office/drawing/2014/chart" uri="{C3380CC4-5D6E-409C-BE32-E72D297353CC}">
              <c16:uniqueId val="{00000000-20CD-4158-AAF8-7582AE86E82E}"/>
            </c:ext>
          </c:extLst>
        </c:ser>
        <c:ser>
          <c:idx val="1"/>
          <c:order val="1"/>
          <c:spPr>
            <a:ln w="12700">
              <a:solidFill>
                <a:srgbClr val="F20884"/>
              </a:solidFill>
              <a:prstDash val="solid"/>
            </a:ln>
          </c:spPr>
          <c:marker>
            <c:symbol val="square"/>
            <c:size val="5"/>
            <c:spPr>
              <a:solidFill>
                <a:srgbClr val="F20884"/>
              </a:solidFill>
              <a:ln>
                <a:solidFill>
                  <a:srgbClr val="F20884"/>
                </a:solidFill>
                <a:prstDash val="solid"/>
              </a:ln>
            </c:spPr>
          </c:marker>
          <c:val>
            <c:numRef>
              <c:f>'Sprint 1'!$F$21:$S$21</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1"/>
          <c:extLst>
            <c:ext xmlns:c16="http://schemas.microsoft.com/office/drawing/2014/chart" uri="{C3380CC4-5D6E-409C-BE32-E72D297353CC}">
              <c16:uniqueId val="{00000001-20CD-4158-AAF8-7582AE86E82E}"/>
            </c:ext>
          </c:extLst>
        </c:ser>
        <c:dLbls>
          <c:showLegendKey val="0"/>
          <c:showVal val="0"/>
          <c:showCatName val="0"/>
          <c:showSerName val="0"/>
          <c:showPercent val="0"/>
          <c:showBubbleSize val="0"/>
        </c:dLbls>
        <c:marker val="1"/>
        <c:smooth val="0"/>
        <c:axId val="228933120"/>
        <c:axId val="646860736"/>
      </c:lineChart>
      <c:catAx>
        <c:axId val="228933120"/>
        <c:scaling>
          <c:orientation val="minMax"/>
        </c:scaling>
        <c:delete val="0"/>
        <c:axPos val="b"/>
        <c:title>
          <c:tx>
            <c:rich>
              <a:bodyPr/>
              <a:lstStyle/>
              <a:p>
                <a:pPr>
                  <a:defRPr sz="1125" b="1" i="0" strike="noStrike" baseline="0">
                    <a:solidFill>
                      <a:srgbClr val="000000"/>
                    </a:solidFill>
                    <a:latin typeface="Arial"/>
                    <a:ea typeface="Arial"/>
                    <a:cs typeface="Arial"/>
                  </a:defRPr>
                </a:pPr>
                <a:r>
                  <a:rPr lang="en-US"/>
                  <a:t>Days</a:t>
                </a:r>
              </a:p>
            </c:rich>
          </c:tx>
          <c:layout>
            <c:manualLayout>
              <c:xMode val="edge"/>
              <c:yMode val="edge"/>
              <c:x val="0.51358724822318558"/>
              <c:y val="0.91421016817342282"/>
            </c:manualLayout>
          </c:layout>
          <c:overlay val="0"/>
          <c:spPr>
            <a:noFill/>
            <a:ln w="25400">
              <a:noFill/>
              <a:prstDash val="solid"/>
            </a:ln>
          </c:spPr>
        </c:title>
        <c:numFmt formatCode="General" sourceLinked="1"/>
        <c:majorTickMark val="out"/>
        <c:minorTickMark val="none"/>
        <c:tickLblPos val="nextTo"/>
        <c:spPr>
          <a:ln w="3175">
            <a:solidFill>
              <a:srgbClr val="000000"/>
            </a:solidFill>
            <a:prstDash val="solid"/>
          </a:ln>
        </c:spPr>
        <c:txPr>
          <a:bodyPr rot="0" vert="horz"/>
          <a:lstStyle/>
          <a:p>
            <a:pPr>
              <a:defRPr sz="1125" b="0" i="0" strike="noStrike" baseline="0">
                <a:solidFill>
                  <a:srgbClr val="000000"/>
                </a:solidFill>
                <a:latin typeface="Arial"/>
                <a:ea typeface="Arial"/>
                <a:cs typeface="Arial"/>
              </a:defRPr>
            </a:pPr>
            <a:endParaRPr lang="en-US"/>
          </a:p>
        </c:txPr>
        <c:crossAx val="646860736"/>
        <c:crosses val="autoZero"/>
        <c:auto val="0"/>
        <c:lblAlgn val="ctr"/>
        <c:lblOffset val="100"/>
        <c:tickLblSkip val="1"/>
        <c:tickMarkSkip val="1"/>
        <c:noMultiLvlLbl val="0"/>
      </c:catAx>
      <c:valAx>
        <c:axId val="646860736"/>
        <c:scaling>
          <c:orientation val="minMax"/>
        </c:scaling>
        <c:delete val="0"/>
        <c:axPos val="l"/>
        <c:title>
          <c:tx>
            <c:rich>
              <a:bodyPr/>
              <a:lstStyle/>
              <a:p>
                <a:pPr>
                  <a:defRPr sz="1125" b="1" i="0" strike="noStrike" baseline="0">
                    <a:solidFill>
                      <a:srgbClr val="000000"/>
                    </a:solidFill>
                    <a:latin typeface="Arial"/>
                    <a:ea typeface="Arial"/>
                    <a:cs typeface="Arial"/>
                  </a:defRPr>
                </a:pPr>
                <a:r>
                  <a:rPr lang="en-US"/>
                  <a:t>Remaining Scrum units</a:t>
                </a:r>
              </a:p>
            </c:rich>
          </c:tx>
          <c:layout>
            <c:manualLayout>
              <c:xMode val="edge"/>
              <c:yMode val="edge"/>
              <c:x val="2.4456486478516028E-2"/>
              <c:y val="0.28150175672485378"/>
            </c:manualLayout>
          </c:layout>
          <c:overlay val="0"/>
          <c:spPr>
            <a:noFill/>
            <a:ln w="25400">
              <a:noFill/>
              <a:prstDash val="solid"/>
            </a:ln>
          </c:spPr>
        </c:title>
        <c:numFmt formatCode="General" sourceLinked="1"/>
        <c:majorTickMark val="out"/>
        <c:minorTickMark val="none"/>
        <c:tickLblPos val="nextTo"/>
        <c:spPr>
          <a:ln w="3175">
            <a:solidFill>
              <a:srgbClr val="000000"/>
            </a:solidFill>
            <a:prstDash val="solid"/>
          </a:ln>
        </c:spPr>
        <c:txPr>
          <a:bodyPr rot="0" vert="horz"/>
          <a:lstStyle/>
          <a:p>
            <a:pPr>
              <a:defRPr sz="1125" b="0" i="0" strike="noStrike" baseline="0">
                <a:solidFill>
                  <a:srgbClr val="000000"/>
                </a:solidFill>
                <a:latin typeface="Arial"/>
                <a:ea typeface="Arial"/>
                <a:cs typeface="Arial"/>
              </a:defRPr>
            </a:pPr>
            <a:endParaRPr lang="en-US"/>
          </a:p>
        </c:txPr>
        <c:crossAx val="228933120"/>
        <c:crosses val="autoZero"/>
        <c:crossBetween val="between"/>
      </c:valAx>
    </c:plotArea>
    <c:legend>
      <c:legendPos val="r"/>
      <c:layout>
        <c:manualLayout>
          <c:xMode val="edge"/>
          <c:yMode val="edge"/>
          <c:x val="0.80380527525950052"/>
          <c:y val="0.30481273174186557"/>
          <c:w val="0.13580642307352031"/>
          <c:h val="0.17067033287505731"/>
        </c:manualLayout>
      </c:layout>
      <c:overlay val="0"/>
      <c:spPr>
        <a:solidFill>
          <a:srgbClr val="FFFFFF"/>
        </a:solidFill>
        <a:ln w="3175">
          <a:solidFill>
            <a:srgbClr val="000000"/>
          </a:solidFill>
          <a:prstDash val="solid"/>
        </a:ln>
      </c:spPr>
      <c:txPr>
        <a:bodyPr/>
        <a:lstStyle/>
        <a:p>
          <a:pPr>
            <a:defRPr sz="1035" b="0" i="0" strike="noStrike" baseline="0">
              <a:solidFill>
                <a:srgbClr val="000000"/>
              </a:solidFill>
              <a:latin typeface="Arial"/>
              <a:ea typeface="Arial"/>
              <a:cs typeface="Arial"/>
            </a:defRPr>
          </a:pPr>
          <a:endParaRPr lang="en-US"/>
        </a:p>
      </c:txPr>
    </c:legend>
    <c:plotVisOnly val="1"/>
    <c:dispBlanksAs val="gap"/>
    <c:showDLblsOverMax val="1"/>
  </c:chart>
  <c:spPr>
    <a:solidFill>
      <a:srgbClr val="FFFFFF"/>
    </a:solidFill>
    <a:ln w="3175">
      <a:solidFill>
        <a:srgbClr val="000000"/>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200" b="1" i="0" strike="noStrike" baseline="0">
                <a:solidFill>
                  <a:srgbClr val="000000"/>
                </a:solidFill>
                <a:latin typeface="Arial"/>
                <a:ea typeface="Arial"/>
                <a:cs typeface="Arial"/>
              </a:defRPr>
            </a:pPr>
            <a:r>
              <a:rPr lang="en-US"/>
              <a:t>Burndown Chart </a:t>
            </a:r>
          </a:p>
        </c:rich>
      </c:tx>
      <c:layout>
        <c:manualLayout>
          <c:xMode val="edge"/>
          <c:yMode val="edge"/>
          <c:x val="0.40353269043616741"/>
          <c:y val="4.2895471399408407E-2"/>
        </c:manualLayout>
      </c:layout>
      <c:overlay val="0"/>
      <c:spPr>
        <a:noFill/>
        <a:ln w="25400">
          <a:noFill/>
          <a:prstDash val="solid"/>
        </a:ln>
      </c:spPr>
    </c:title>
    <c:autoTitleDeleted val="0"/>
    <c:plotArea>
      <c:layout>
        <c:manualLayout>
          <c:layoutTarget val="inner"/>
          <c:xMode val="edge"/>
          <c:yMode val="edge"/>
          <c:x val="0.10375100372727381"/>
          <c:y val="0.168958412284026"/>
          <c:w val="0.88043536671206712"/>
          <c:h val="0.66219925828279247"/>
        </c:manualLayout>
      </c:layout>
      <c:lineChart>
        <c:grouping val="standard"/>
        <c:varyColors val="0"/>
        <c:ser>
          <c:idx val="0"/>
          <c:order val="0"/>
          <c:spPr>
            <a:ln w="12700">
              <a:solidFill>
                <a:srgbClr val="000090"/>
              </a:solidFill>
              <a:prstDash val="solid"/>
            </a:ln>
          </c:spPr>
          <c:marker>
            <c:symbol val="diamond"/>
            <c:size val="5"/>
            <c:spPr>
              <a:solidFill>
                <a:srgbClr val="000090"/>
              </a:solidFill>
              <a:ln>
                <a:solidFill>
                  <a:srgbClr val="000090"/>
                </a:solidFill>
                <a:prstDash val="solid"/>
              </a:ln>
            </c:spPr>
          </c:marker>
          <c:dLbls>
            <c:spPr>
              <a:noFill/>
              <a:ln w="25400">
                <a:noFill/>
                <a:prstDash val="solid"/>
              </a:ln>
            </c:spPr>
            <c:txPr>
              <a:bodyPr wrap="square" lIns="38100" tIns="19050" rIns="38100" bIns="19050" anchor="ctr">
                <a:spAutoFit/>
              </a:bodyPr>
              <a:lstStyle/>
              <a:p>
                <a:pPr>
                  <a:defRPr sz="1125" b="0" i="0"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'Sprint 2'!$F$20:$S$20</c:f>
              <c:numCache>
                <c:formatCode>General</c:formatCode>
                <c:ptCount val="14"/>
                <c:pt idx="0">
                  <c:v>0.25</c:v>
                </c:pt>
                <c:pt idx="1">
                  <c:v>0</c:v>
                </c:pt>
                <c:pt idx="2">
                  <c:v>0.25</c:v>
                </c:pt>
                <c:pt idx="3">
                  <c:v>0</c:v>
                </c:pt>
                <c:pt idx="4">
                  <c:v>0.5</c:v>
                </c:pt>
                <c:pt idx="5">
                  <c:v>0.25</c:v>
                </c:pt>
              </c:numCache>
            </c:numRef>
          </c:val>
          <c:smooth val="1"/>
          <c:extLst>
            <c:ext xmlns:c16="http://schemas.microsoft.com/office/drawing/2014/chart" uri="{C3380CC4-5D6E-409C-BE32-E72D297353CC}">
              <c16:uniqueId val="{00000000-896B-449E-8206-D8B0FD9BD26F}"/>
            </c:ext>
          </c:extLst>
        </c:ser>
        <c:ser>
          <c:idx val="1"/>
          <c:order val="1"/>
          <c:spPr>
            <a:ln w="12700">
              <a:solidFill>
                <a:srgbClr val="F20884"/>
              </a:solidFill>
              <a:prstDash val="solid"/>
            </a:ln>
          </c:spPr>
          <c:marker>
            <c:symbol val="square"/>
            <c:size val="5"/>
            <c:spPr>
              <a:solidFill>
                <a:srgbClr val="F20884"/>
              </a:solidFill>
              <a:ln>
                <a:solidFill>
                  <a:srgbClr val="F20884"/>
                </a:solidFill>
                <a:prstDash val="solid"/>
              </a:ln>
            </c:spPr>
          </c:marker>
          <c:val>
            <c:numRef>
              <c:f>'Sprint 2'!$F$21:$S$21</c:f>
              <c:numCache>
                <c:formatCode>General</c:formatCode>
                <c:ptCount val="14"/>
                <c:pt idx="0">
                  <c:v>0.25</c:v>
                </c:pt>
                <c:pt idx="1">
                  <c:v>0</c:v>
                </c:pt>
                <c:pt idx="2">
                  <c:v>0.25</c:v>
                </c:pt>
                <c:pt idx="3">
                  <c:v>0</c:v>
                </c:pt>
                <c:pt idx="4">
                  <c:v>0.5</c:v>
                </c:pt>
                <c:pt idx="5">
                  <c:v>0.25</c:v>
                </c:pt>
              </c:numCache>
            </c:numRef>
          </c:val>
          <c:smooth val="1"/>
          <c:extLst>
            <c:ext xmlns:c16="http://schemas.microsoft.com/office/drawing/2014/chart" uri="{C3380CC4-5D6E-409C-BE32-E72D297353CC}">
              <c16:uniqueId val="{00000001-896B-449E-8206-D8B0FD9BD26F}"/>
            </c:ext>
          </c:extLst>
        </c:ser>
        <c:dLbls>
          <c:showLegendKey val="0"/>
          <c:showVal val="0"/>
          <c:showCatName val="0"/>
          <c:showSerName val="0"/>
          <c:showPercent val="0"/>
          <c:showBubbleSize val="0"/>
        </c:dLbls>
        <c:marker val="1"/>
        <c:smooth val="0"/>
        <c:axId val="228933120"/>
        <c:axId val="646860736"/>
      </c:lineChart>
      <c:catAx>
        <c:axId val="228933120"/>
        <c:scaling>
          <c:orientation val="minMax"/>
        </c:scaling>
        <c:delete val="0"/>
        <c:axPos val="b"/>
        <c:title>
          <c:tx>
            <c:rich>
              <a:bodyPr/>
              <a:lstStyle/>
              <a:p>
                <a:pPr>
                  <a:defRPr sz="1125" b="1" i="0" strike="noStrike" baseline="0">
                    <a:solidFill>
                      <a:srgbClr val="000000"/>
                    </a:solidFill>
                    <a:latin typeface="Arial"/>
                    <a:ea typeface="Arial"/>
                    <a:cs typeface="Arial"/>
                  </a:defRPr>
                </a:pPr>
                <a:r>
                  <a:rPr lang="en-US"/>
                  <a:t>Days</a:t>
                </a:r>
              </a:p>
            </c:rich>
          </c:tx>
          <c:layout>
            <c:manualLayout>
              <c:xMode val="edge"/>
              <c:yMode val="edge"/>
              <c:x val="0.51358724822318558"/>
              <c:y val="0.91421016817342282"/>
            </c:manualLayout>
          </c:layout>
          <c:overlay val="0"/>
          <c:spPr>
            <a:noFill/>
            <a:ln w="25400">
              <a:noFill/>
              <a:prstDash val="solid"/>
            </a:ln>
          </c:spPr>
        </c:title>
        <c:numFmt formatCode="General" sourceLinked="1"/>
        <c:majorTickMark val="out"/>
        <c:minorTickMark val="none"/>
        <c:tickLblPos val="nextTo"/>
        <c:spPr>
          <a:ln w="3175">
            <a:solidFill>
              <a:srgbClr val="000000"/>
            </a:solidFill>
            <a:prstDash val="solid"/>
          </a:ln>
        </c:spPr>
        <c:txPr>
          <a:bodyPr rot="0" vert="horz"/>
          <a:lstStyle/>
          <a:p>
            <a:pPr>
              <a:defRPr sz="1125" b="0" i="0" strike="noStrike" baseline="0">
                <a:solidFill>
                  <a:srgbClr val="000000"/>
                </a:solidFill>
                <a:latin typeface="Arial"/>
                <a:ea typeface="Arial"/>
                <a:cs typeface="Arial"/>
              </a:defRPr>
            </a:pPr>
            <a:endParaRPr lang="en-US"/>
          </a:p>
        </c:txPr>
        <c:crossAx val="646860736"/>
        <c:crosses val="autoZero"/>
        <c:auto val="0"/>
        <c:lblAlgn val="ctr"/>
        <c:lblOffset val="100"/>
        <c:tickLblSkip val="1"/>
        <c:tickMarkSkip val="1"/>
        <c:noMultiLvlLbl val="0"/>
      </c:catAx>
      <c:valAx>
        <c:axId val="646860736"/>
        <c:scaling>
          <c:orientation val="minMax"/>
        </c:scaling>
        <c:delete val="0"/>
        <c:axPos val="l"/>
        <c:title>
          <c:tx>
            <c:rich>
              <a:bodyPr/>
              <a:lstStyle/>
              <a:p>
                <a:pPr>
                  <a:defRPr sz="1125" b="1" i="0" strike="noStrike" baseline="0">
                    <a:solidFill>
                      <a:srgbClr val="000000"/>
                    </a:solidFill>
                    <a:latin typeface="Arial"/>
                    <a:ea typeface="Arial"/>
                    <a:cs typeface="Arial"/>
                  </a:defRPr>
                </a:pPr>
                <a:r>
                  <a:rPr lang="en-US"/>
                  <a:t>Remaining Scrum units</a:t>
                </a:r>
              </a:p>
            </c:rich>
          </c:tx>
          <c:layout>
            <c:manualLayout>
              <c:xMode val="edge"/>
              <c:yMode val="edge"/>
              <c:x val="2.4456486478516028E-2"/>
              <c:y val="0.28150175672485378"/>
            </c:manualLayout>
          </c:layout>
          <c:overlay val="0"/>
          <c:spPr>
            <a:noFill/>
            <a:ln w="25400">
              <a:noFill/>
              <a:prstDash val="solid"/>
            </a:ln>
          </c:spPr>
        </c:title>
        <c:numFmt formatCode="General" sourceLinked="1"/>
        <c:majorTickMark val="out"/>
        <c:minorTickMark val="none"/>
        <c:tickLblPos val="nextTo"/>
        <c:spPr>
          <a:ln w="3175">
            <a:solidFill>
              <a:srgbClr val="000000"/>
            </a:solidFill>
            <a:prstDash val="solid"/>
          </a:ln>
        </c:spPr>
        <c:txPr>
          <a:bodyPr rot="0" vert="horz"/>
          <a:lstStyle/>
          <a:p>
            <a:pPr>
              <a:defRPr sz="1125" b="0" i="0" strike="noStrike" baseline="0">
                <a:solidFill>
                  <a:srgbClr val="000000"/>
                </a:solidFill>
                <a:latin typeface="Arial"/>
                <a:ea typeface="Arial"/>
                <a:cs typeface="Arial"/>
              </a:defRPr>
            </a:pPr>
            <a:endParaRPr lang="en-US"/>
          </a:p>
        </c:txPr>
        <c:crossAx val="228933120"/>
        <c:crosses val="autoZero"/>
        <c:crossBetween val="between"/>
      </c:valAx>
    </c:plotArea>
    <c:legend>
      <c:legendPos val="r"/>
      <c:layout>
        <c:manualLayout>
          <c:xMode val="edge"/>
          <c:yMode val="edge"/>
          <c:x val="0.80380527525950052"/>
          <c:y val="0.30481273174186557"/>
          <c:w val="0.13580642307352031"/>
          <c:h val="0.17067033287505731"/>
        </c:manualLayout>
      </c:layout>
      <c:overlay val="0"/>
      <c:spPr>
        <a:solidFill>
          <a:srgbClr val="FFFFFF"/>
        </a:solidFill>
        <a:ln w="3175">
          <a:solidFill>
            <a:srgbClr val="000000"/>
          </a:solidFill>
          <a:prstDash val="solid"/>
        </a:ln>
      </c:spPr>
      <c:txPr>
        <a:bodyPr/>
        <a:lstStyle/>
        <a:p>
          <a:pPr>
            <a:defRPr sz="1035" b="0" i="0" strike="noStrike" baseline="0">
              <a:solidFill>
                <a:srgbClr val="000000"/>
              </a:solidFill>
              <a:latin typeface="Arial"/>
              <a:ea typeface="Arial"/>
              <a:cs typeface="Arial"/>
            </a:defRPr>
          </a:pPr>
          <a:endParaRPr lang="en-US"/>
        </a:p>
      </c:txPr>
    </c:legend>
    <c:plotVisOnly val="1"/>
    <c:dispBlanksAs val="gap"/>
    <c:showDLblsOverMax val="1"/>
  </c:chart>
  <c:spPr>
    <a:solidFill>
      <a:srgbClr val="FFFFFF"/>
    </a:solidFill>
    <a:ln w="3175">
      <a:solidFill>
        <a:srgbClr val="000000"/>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1</xdr:col>
      <xdr:colOff>66675</xdr:colOff>
      <xdr:row>18</xdr:row>
      <xdr:rowOff>95250</xdr:rowOff>
    </xdr:from>
    <xdr:to>
      <xdr:col>1</xdr:col>
      <xdr:colOff>895350</xdr:colOff>
      <xdr:row>20</xdr:row>
      <xdr:rowOff>66675</xdr:rowOff>
    </xdr:to>
    <xdr:pic>
      <xdr:nvPicPr>
        <xdr:cNvPr id="2126" name="Picture 2">
          <a:hlinkClick xmlns:r="http://schemas.openxmlformats.org/officeDocument/2006/relationships" r:id=""/>
          <a:extLst>
            <a:ext uri="{FF2B5EF4-FFF2-40B4-BE49-F238E27FC236}">
              <a16:creationId xmlns:a16="http://schemas.microsoft.com/office/drawing/2014/main" id="{00000000-0008-0000-0000-00004E08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514600" y="3514725"/>
          <a:ext cx="828675" cy="295275"/>
        </a:xfrm>
        <a:prstGeom prst="rect">
          <a:avLst/>
        </a:prstGeom>
        <a:noFill/>
        <a:ln>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857250</xdr:colOff>
      <xdr:row>26</xdr:row>
      <xdr:rowOff>28574</xdr:rowOff>
    </xdr:from>
    <xdr:to>
      <xdr:col>17</xdr:col>
      <xdr:colOff>685800</xdr:colOff>
      <xdr:row>44</xdr:row>
      <xdr:rowOff>38099</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400050</xdr:colOff>
      <xdr:row>39</xdr:row>
      <xdr:rowOff>66674</xdr:rowOff>
    </xdr:from>
    <xdr:to>
      <xdr:col>17</xdr:col>
      <xdr:colOff>0</xdr:colOff>
      <xdr:row>60</xdr:row>
      <xdr:rowOff>133349</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0:G21" totalsRowShown="0" headerRowDxfId="12" dataDxfId="10" headerRowBorderDxfId="11" tableBorderDxfId="9">
  <autoFilter ref="A10:G21" xr:uid="{00000000-0009-0000-0100-000001000000}"/>
  <sortState xmlns:xlrd2="http://schemas.microsoft.com/office/spreadsheetml/2017/richdata2" ref="A11:F20">
    <sortCondition ref="F10:F20"/>
  </sortState>
  <tableColumns count="7">
    <tableColumn id="1" xr3:uid="{00000000-0010-0000-0000-000001000000}" name=" Story ID" dataDxfId="8"/>
    <tableColumn id="2" xr3:uid="{00000000-0010-0000-0000-000002000000}" name="Title" dataDxfId="7"/>
    <tableColumn id="3" xr3:uid="{00000000-0010-0000-0000-000003000000}" name="Description" dataDxfId="6"/>
    <tableColumn id="4" xr3:uid="{00000000-0010-0000-0000-000004000000}" name="Acceptance Criteria" dataDxfId="5"/>
    <tableColumn id="5" xr3:uid="{00000000-0010-0000-0000-000005000000}" name="Priority #" dataDxfId="4"/>
    <tableColumn id="6" xr3:uid="{00000000-0010-0000-0000-000006000000}" name="Sprint #" dataDxfId="3"/>
    <tableColumn id="7" xr3:uid="{00000000-0010-0000-0000-000007000000}" name="Responsibility" dataDxfId="2"/>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D35"/>
  <sheetViews>
    <sheetView topLeftCell="A3" workbookViewId="0">
      <selection activeCell="A2" sqref="A2:B2"/>
    </sheetView>
  </sheetViews>
  <sheetFormatPr defaultColWidth="11.42578125" defaultRowHeight="12.75" x14ac:dyDescent="0.2"/>
  <cols>
    <col min="1" max="1" width="36.7109375" style="16" customWidth="1"/>
    <col min="2" max="2" width="114.85546875" style="1" customWidth="1"/>
    <col min="3" max="7" width="11.42578125" style="1" customWidth="1"/>
    <col min="8" max="16384" width="11.42578125" style="1"/>
  </cols>
  <sheetData>
    <row r="2" spans="1:4" s="13" customFormat="1" ht="39.75" customHeight="1" x14ac:dyDescent="0.2">
      <c r="A2" s="96" t="s">
        <v>62</v>
      </c>
      <c r="B2" s="97"/>
      <c r="C2" s="33"/>
      <c r="D2" s="33"/>
    </row>
    <row r="3" spans="1:4" x14ac:dyDescent="0.2">
      <c r="A3" s="34"/>
      <c r="B3" s="33"/>
      <c r="C3" s="35"/>
      <c r="D3" s="35"/>
    </row>
    <row r="4" spans="1:4" s="15" customFormat="1" x14ac:dyDescent="0.2">
      <c r="A4" s="34"/>
      <c r="B4" s="36"/>
      <c r="C4" s="36"/>
      <c r="D4" s="36"/>
    </row>
    <row r="5" spans="1:4" s="15" customFormat="1" x14ac:dyDescent="0.2">
      <c r="A5" s="34"/>
      <c r="B5" s="36"/>
      <c r="C5" s="36"/>
      <c r="D5" s="36"/>
    </row>
    <row r="6" spans="1:4" s="14" customFormat="1" x14ac:dyDescent="0.2">
      <c r="A6" s="34" t="s">
        <v>63</v>
      </c>
      <c r="B6" s="35" t="s">
        <v>64</v>
      </c>
      <c r="C6" s="35"/>
      <c r="D6" s="35"/>
    </row>
    <row r="7" spans="1:4" s="15" customFormat="1" x14ac:dyDescent="0.2">
      <c r="A7" s="34"/>
      <c r="B7" s="36"/>
      <c r="C7" s="36"/>
      <c r="D7" s="36"/>
    </row>
    <row r="8" spans="1:4" s="15" customFormat="1" x14ac:dyDescent="0.2">
      <c r="A8" s="34"/>
      <c r="B8" s="37"/>
      <c r="C8" s="36"/>
      <c r="D8" s="36"/>
    </row>
    <row r="9" spans="1:4" s="14" customFormat="1" x14ac:dyDescent="0.2">
      <c r="A9" s="38"/>
      <c r="B9" s="37"/>
      <c r="C9" s="35"/>
      <c r="D9" s="35"/>
    </row>
    <row r="10" spans="1:4" s="15" customFormat="1" x14ac:dyDescent="0.2">
      <c r="A10" s="34"/>
      <c r="B10" s="36"/>
      <c r="C10" s="36"/>
      <c r="D10" s="36"/>
    </row>
    <row r="11" spans="1:4" s="14" customFormat="1" x14ac:dyDescent="0.2">
      <c r="A11" s="34" t="s">
        <v>65</v>
      </c>
      <c r="B11" s="39" t="s">
        <v>66</v>
      </c>
      <c r="C11" s="35"/>
      <c r="D11" s="35"/>
    </row>
    <row r="12" spans="1:4" x14ac:dyDescent="0.2">
      <c r="A12" s="34"/>
      <c r="B12" s="39" t="s">
        <v>67</v>
      </c>
      <c r="C12" s="35"/>
      <c r="D12" s="35"/>
    </row>
    <row r="13" spans="1:4" x14ac:dyDescent="0.2">
      <c r="A13" s="34"/>
      <c r="B13" s="39"/>
      <c r="C13" s="35"/>
      <c r="D13" s="35"/>
    </row>
    <row r="14" spans="1:4" x14ac:dyDescent="0.2">
      <c r="A14" s="34"/>
      <c r="B14" s="35"/>
      <c r="C14" s="35"/>
      <c r="D14" s="35"/>
    </row>
    <row r="15" spans="1:4" x14ac:dyDescent="0.2">
      <c r="A15" s="34" t="s">
        <v>68</v>
      </c>
      <c r="B15" s="40" t="s">
        <v>69</v>
      </c>
      <c r="C15" s="35"/>
      <c r="D15" s="35"/>
    </row>
    <row r="16" spans="1:4" x14ac:dyDescent="0.2">
      <c r="A16" s="34"/>
      <c r="B16" s="35" t="s">
        <v>70</v>
      </c>
      <c r="C16" s="35"/>
      <c r="D16" s="35"/>
    </row>
    <row r="17" spans="1:4" s="14" customFormat="1" x14ac:dyDescent="0.2">
      <c r="A17" s="34"/>
      <c r="B17" s="35"/>
      <c r="C17" s="35"/>
      <c r="D17" s="35"/>
    </row>
    <row r="18" spans="1:4" s="15" customFormat="1" x14ac:dyDescent="0.2">
      <c r="A18" s="34" t="s">
        <v>71</v>
      </c>
      <c r="B18" s="41" t="s">
        <v>72</v>
      </c>
      <c r="C18" s="36"/>
      <c r="D18" s="36"/>
    </row>
    <row r="19" spans="1:4" x14ac:dyDescent="0.2">
      <c r="A19" s="34"/>
      <c r="B19" s="35"/>
      <c r="C19" s="35"/>
      <c r="D19" s="35"/>
    </row>
    <row r="20" spans="1:4" x14ac:dyDescent="0.2">
      <c r="A20" s="34"/>
      <c r="B20" s="35"/>
      <c r="C20" s="35"/>
      <c r="D20" s="35"/>
    </row>
    <row r="21" spans="1:4" x14ac:dyDescent="0.2">
      <c r="A21" s="34"/>
      <c r="B21" s="35"/>
      <c r="C21" s="35"/>
      <c r="D21" s="35"/>
    </row>
    <row r="22" spans="1:4" x14ac:dyDescent="0.2">
      <c r="A22" s="34"/>
      <c r="B22" s="35"/>
      <c r="C22" s="35"/>
      <c r="D22" s="35"/>
    </row>
    <row r="23" spans="1:4" x14ac:dyDescent="0.2">
      <c r="A23" s="34" t="s">
        <v>73</v>
      </c>
      <c r="B23" s="35" t="s">
        <v>74</v>
      </c>
      <c r="C23" s="35"/>
      <c r="D23" s="35"/>
    </row>
    <row r="24" spans="1:4" x14ac:dyDescent="0.2">
      <c r="A24" s="34"/>
      <c r="B24" s="37"/>
      <c r="C24" s="35"/>
      <c r="D24" s="35"/>
    </row>
    <row r="31" spans="1:4" x14ac:dyDescent="0.2">
      <c r="A31" s="1"/>
    </row>
    <row r="32" spans="1:4" x14ac:dyDescent="0.2">
      <c r="A32" s="1"/>
    </row>
    <row r="33" spans="1:1" x14ac:dyDescent="0.2">
      <c r="A33" s="1"/>
    </row>
    <row r="34" spans="1:1" x14ac:dyDescent="0.2">
      <c r="A34" s="1"/>
    </row>
    <row r="35" spans="1:1" x14ac:dyDescent="0.2">
      <c r="A35" s="1"/>
    </row>
  </sheetData>
  <mergeCells count="1">
    <mergeCell ref="A2:B2"/>
  </mergeCells>
  <pageMargins left="0.75" right="0.75" top="1" bottom="1" header="0.5" footer="0.5"/>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EC24"/>
  <sheetViews>
    <sheetView topLeftCell="A13" zoomScaleNormal="100" workbookViewId="0">
      <selection activeCell="C6" sqref="C6"/>
    </sheetView>
  </sheetViews>
  <sheetFormatPr defaultColWidth="11.42578125" defaultRowHeight="15.75" x14ac:dyDescent="0.25"/>
  <cols>
    <col min="1" max="1" width="36.85546875" style="43" customWidth="1"/>
    <col min="2" max="2" width="35.140625" style="42" customWidth="1"/>
    <col min="3" max="3" width="103.140625" style="42" bestFit="1" customWidth="1"/>
    <col min="4" max="4" width="74.85546875" style="42" bestFit="1" customWidth="1"/>
    <col min="5" max="5" width="15.5703125" style="43" bestFit="1" customWidth="1"/>
    <col min="6" max="6" width="11.85546875" style="42" bestFit="1" customWidth="1"/>
    <col min="7" max="7" width="20.5703125" style="42" customWidth="1"/>
    <col min="8" max="138" width="11.42578125" style="42" customWidth="1"/>
    <col min="139" max="16384" width="11.42578125" style="42"/>
  </cols>
  <sheetData>
    <row r="2" spans="1:133" x14ac:dyDescent="0.25">
      <c r="A2" s="98" t="s">
        <v>62</v>
      </c>
      <c r="B2" s="99"/>
      <c r="C2" s="99"/>
      <c r="D2" s="99"/>
      <c r="E2" s="100"/>
      <c r="F2" s="99"/>
    </row>
    <row r="3" spans="1:133" x14ac:dyDescent="0.25">
      <c r="D3" s="43"/>
    </row>
    <row r="4" spans="1:133" x14ac:dyDescent="0.25">
      <c r="B4" s="47" t="s">
        <v>75</v>
      </c>
      <c r="C4" s="58" t="s">
        <v>76</v>
      </c>
      <c r="D4" s="43"/>
    </row>
    <row r="5" spans="1:133" x14ac:dyDescent="0.25">
      <c r="B5" s="47" t="s">
        <v>0</v>
      </c>
      <c r="C5" s="58" t="s">
        <v>1</v>
      </c>
      <c r="D5" s="43"/>
    </row>
    <row r="6" spans="1:133" x14ac:dyDescent="0.25">
      <c r="B6" s="47" t="s">
        <v>77</v>
      </c>
      <c r="C6" s="58" t="s">
        <v>15</v>
      </c>
      <c r="D6" s="43"/>
    </row>
    <row r="7" spans="1:133" x14ac:dyDescent="0.25">
      <c r="B7" s="47" t="s">
        <v>78</v>
      </c>
      <c r="C7" s="58" t="s">
        <v>79</v>
      </c>
      <c r="D7" s="43"/>
    </row>
    <row r="8" spans="1:133" x14ac:dyDescent="0.25">
      <c r="B8" s="47" t="s">
        <v>80</v>
      </c>
      <c r="C8" s="58" t="s">
        <v>81</v>
      </c>
      <c r="D8" s="43"/>
    </row>
    <row r="9" spans="1:133" x14ac:dyDescent="0.25">
      <c r="B9" s="47" t="s">
        <v>82</v>
      </c>
      <c r="C9" s="58" t="s">
        <v>39</v>
      </c>
      <c r="D9" s="43"/>
    </row>
    <row r="10" spans="1:133" s="44" customFormat="1" x14ac:dyDescent="0.2">
      <c r="A10" s="45" t="s">
        <v>83</v>
      </c>
      <c r="B10" s="46" t="s">
        <v>84</v>
      </c>
      <c r="C10" s="46" t="s">
        <v>9</v>
      </c>
      <c r="D10" s="46" t="s">
        <v>85</v>
      </c>
      <c r="E10" s="46" t="s">
        <v>86</v>
      </c>
      <c r="F10" s="46" t="s">
        <v>2</v>
      </c>
      <c r="G10" s="46" t="s">
        <v>10</v>
      </c>
    </row>
    <row r="11" spans="1:133" s="48" customFormat="1" ht="54" customHeight="1" x14ac:dyDescent="0.2">
      <c r="A11" s="67" t="s">
        <v>37</v>
      </c>
      <c r="B11" s="60" t="s">
        <v>87</v>
      </c>
      <c r="C11" s="60" t="s">
        <v>88</v>
      </c>
      <c r="D11" s="60" t="s">
        <v>89</v>
      </c>
      <c r="E11" s="59">
        <v>1</v>
      </c>
      <c r="F11" s="59">
        <v>1</v>
      </c>
      <c r="G11" s="66" t="s">
        <v>81</v>
      </c>
      <c r="H11" s="57"/>
      <c r="I11" s="57"/>
      <c r="J11" s="57"/>
      <c r="K11" s="57"/>
      <c r="L11" s="57"/>
      <c r="M11" s="57"/>
      <c r="N11" s="57"/>
      <c r="O11" s="57"/>
      <c r="P11" s="57"/>
      <c r="Q11" s="57"/>
      <c r="R11" s="57"/>
      <c r="S11" s="57"/>
      <c r="T11" s="57"/>
      <c r="U11" s="57"/>
      <c r="V11" s="57"/>
      <c r="W11" s="57"/>
      <c r="X11" s="57"/>
      <c r="Y11" s="57"/>
      <c r="Z11" s="57"/>
      <c r="AA11" s="57"/>
      <c r="AB11" s="57"/>
      <c r="AC11" s="57"/>
      <c r="AD11" s="57"/>
      <c r="AE11" s="57"/>
      <c r="AF11" s="57"/>
      <c r="AG11" s="57"/>
      <c r="AH11" s="57"/>
      <c r="AI11" s="57"/>
      <c r="AJ11" s="57"/>
      <c r="AK11" s="57"/>
      <c r="AL11" s="57"/>
      <c r="AM11" s="57"/>
      <c r="AN11" s="57"/>
      <c r="AO11" s="57"/>
      <c r="AP11" s="57"/>
      <c r="AQ11" s="57"/>
      <c r="AR11" s="57"/>
      <c r="AS11" s="57"/>
      <c r="AT11" s="57"/>
      <c r="AU11" s="57"/>
      <c r="AV11" s="57"/>
      <c r="AW11" s="57"/>
      <c r="AX11" s="57"/>
      <c r="AY11" s="57"/>
      <c r="AZ11" s="57"/>
      <c r="BA11" s="57"/>
      <c r="BB11" s="57"/>
      <c r="BC11" s="57"/>
      <c r="BD11" s="57"/>
      <c r="BE11" s="57"/>
      <c r="BF11" s="57"/>
      <c r="BG11" s="57"/>
      <c r="BH11" s="57"/>
      <c r="BI11" s="57"/>
      <c r="BJ11" s="57"/>
      <c r="BK11" s="57"/>
      <c r="BL11" s="57"/>
      <c r="BM11" s="57"/>
      <c r="BN11" s="57"/>
      <c r="BO11" s="57"/>
      <c r="BP11" s="57"/>
      <c r="BQ11" s="57"/>
      <c r="BR11" s="57"/>
      <c r="BS11" s="57"/>
      <c r="BT11" s="57"/>
      <c r="BU11" s="57"/>
      <c r="BV11" s="57"/>
      <c r="BW11" s="57"/>
      <c r="BX11" s="57"/>
      <c r="BY11" s="57"/>
      <c r="BZ11" s="57"/>
      <c r="CA11" s="57"/>
      <c r="CB11" s="57"/>
      <c r="CC11" s="57"/>
      <c r="CD11" s="57"/>
      <c r="CE11" s="57"/>
      <c r="CF11" s="57"/>
      <c r="CG11" s="57"/>
      <c r="CH11" s="57"/>
      <c r="CI11" s="57"/>
      <c r="CJ11" s="57"/>
      <c r="CK11" s="57"/>
      <c r="CL11" s="57"/>
      <c r="CM11" s="57"/>
      <c r="CN11" s="57"/>
      <c r="CO11" s="57"/>
      <c r="CP11" s="57"/>
      <c r="CQ11" s="57"/>
      <c r="CR11" s="57"/>
      <c r="CS11" s="57"/>
      <c r="CT11" s="57"/>
      <c r="CU11" s="57"/>
      <c r="CV11" s="57"/>
      <c r="CW11" s="57"/>
      <c r="CX11" s="57"/>
      <c r="CY11" s="57"/>
      <c r="CZ11" s="57"/>
      <c r="DA11" s="57"/>
      <c r="DB11" s="57"/>
      <c r="DC11" s="57"/>
      <c r="DD11" s="57"/>
      <c r="DE11" s="57"/>
      <c r="DF11" s="57"/>
      <c r="DG11" s="57"/>
      <c r="DH11" s="57"/>
      <c r="DI11" s="57"/>
      <c r="DJ11" s="57"/>
      <c r="DK11" s="57"/>
      <c r="DL11" s="57"/>
      <c r="DM11" s="57"/>
      <c r="DN11" s="57"/>
      <c r="DO11" s="57"/>
      <c r="DP11" s="57"/>
      <c r="DQ11" s="57"/>
      <c r="DR11" s="57"/>
      <c r="DS11" s="57"/>
      <c r="DT11" s="57"/>
      <c r="DU11" s="57"/>
      <c r="DV11" s="57"/>
      <c r="DW11" s="57"/>
      <c r="DX11" s="57"/>
      <c r="DY11" s="57"/>
      <c r="DZ11" s="57"/>
      <c r="EA11" s="57"/>
      <c r="EB11" s="57"/>
      <c r="EC11" s="57"/>
    </row>
    <row r="12" spans="1:133" s="48" customFormat="1" ht="54" customHeight="1" x14ac:dyDescent="0.2">
      <c r="A12" s="59" t="s">
        <v>90</v>
      </c>
      <c r="B12" s="60" t="s">
        <v>91</v>
      </c>
      <c r="C12" s="60" t="s">
        <v>92</v>
      </c>
      <c r="D12" s="60" t="s">
        <v>93</v>
      </c>
      <c r="E12" s="59">
        <v>1</v>
      </c>
      <c r="F12" s="59">
        <v>1</v>
      </c>
      <c r="G12" s="66" t="s">
        <v>79</v>
      </c>
      <c r="H12" s="57"/>
      <c r="I12" s="57"/>
      <c r="J12" s="57"/>
      <c r="K12" s="57"/>
      <c r="L12" s="57"/>
      <c r="M12" s="57"/>
      <c r="N12" s="57"/>
      <c r="O12" s="57"/>
      <c r="P12" s="57"/>
      <c r="Q12" s="57"/>
      <c r="R12" s="57"/>
      <c r="S12" s="57"/>
      <c r="T12" s="57"/>
      <c r="U12" s="57"/>
      <c r="V12" s="57"/>
      <c r="W12" s="57"/>
      <c r="X12" s="57"/>
      <c r="Y12" s="57"/>
      <c r="Z12" s="57"/>
      <c r="AA12" s="57"/>
      <c r="AB12" s="57"/>
      <c r="AC12" s="57"/>
      <c r="AD12" s="57"/>
      <c r="AE12" s="57"/>
      <c r="AF12" s="57"/>
      <c r="AG12" s="57"/>
      <c r="AH12" s="57"/>
      <c r="AI12" s="57"/>
      <c r="AJ12" s="57"/>
      <c r="AK12" s="57"/>
      <c r="AL12" s="57"/>
      <c r="AM12" s="57"/>
      <c r="AN12" s="57"/>
      <c r="AO12" s="57"/>
      <c r="AP12" s="57"/>
      <c r="AQ12" s="57"/>
      <c r="AR12" s="57"/>
      <c r="AS12" s="57"/>
      <c r="AT12" s="57"/>
      <c r="AU12" s="57"/>
      <c r="AV12" s="57"/>
      <c r="AW12" s="57"/>
      <c r="AX12" s="57"/>
      <c r="AY12" s="57"/>
      <c r="AZ12" s="57"/>
      <c r="BA12" s="57"/>
      <c r="BB12" s="57"/>
      <c r="BC12" s="57"/>
      <c r="BD12" s="57"/>
      <c r="BE12" s="57"/>
      <c r="BF12" s="57"/>
      <c r="BG12" s="57"/>
      <c r="BH12" s="57"/>
      <c r="BI12" s="57"/>
      <c r="BJ12" s="57"/>
      <c r="BK12" s="57"/>
      <c r="BL12" s="57"/>
      <c r="BM12" s="57"/>
      <c r="BN12" s="57"/>
      <c r="BO12" s="57"/>
      <c r="BP12" s="57"/>
      <c r="BQ12" s="57"/>
      <c r="BR12" s="57"/>
      <c r="BS12" s="57"/>
      <c r="BT12" s="57"/>
      <c r="BU12" s="57"/>
      <c r="BV12" s="57"/>
      <c r="BW12" s="57"/>
      <c r="BX12" s="57"/>
      <c r="BY12" s="57"/>
      <c r="BZ12" s="57"/>
      <c r="CA12" s="57"/>
      <c r="CB12" s="57"/>
      <c r="CC12" s="57"/>
      <c r="CD12" s="57"/>
      <c r="CE12" s="57"/>
      <c r="CF12" s="57"/>
      <c r="CG12" s="57"/>
      <c r="CH12" s="57"/>
      <c r="CI12" s="57"/>
      <c r="CJ12" s="57"/>
      <c r="CK12" s="57"/>
      <c r="CL12" s="57"/>
      <c r="CM12" s="57"/>
      <c r="CN12" s="57"/>
      <c r="CO12" s="57"/>
      <c r="CP12" s="57"/>
      <c r="CQ12" s="57"/>
      <c r="CR12" s="57"/>
      <c r="CS12" s="57"/>
      <c r="CT12" s="57"/>
      <c r="CU12" s="57"/>
      <c r="CV12" s="57"/>
      <c r="CW12" s="57"/>
      <c r="CX12" s="57"/>
      <c r="CY12" s="57"/>
      <c r="CZ12" s="57"/>
      <c r="DA12" s="57"/>
      <c r="DB12" s="57"/>
      <c r="DC12" s="57"/>
      <c r="DD12" s="57"/>
      <c r="DE12" s="57"/>
      <c r="DF12" s="57"/>
      <c r="DG12" s="57"/>
      <c r="DH12" s="57"/>
      <c r="DI12" s="57"/>
      <c r="DJ12" s="57"/>
      <c r="DK12" s="57"/>
      <c r="DL12" s="57"/>
      <c r="DM12" s="57"/>
      <c r="DN12" s="57"/>
      <c r="DO12" s="57"/>
      <c r="DP12" s="57"/>
      <c r="DQ12" s="57"/>
      <c r="DR12" s="57"/>
      <c r="DS12" s="57"/>
      <c r="DT12" s="57"/>
      <c r="DU12" s="57"/>
      <c r="DV12" s="57"/>
      <c r="DW12" s="57"/>
      <c r="DX12" s="57"/>
      <c r="DY12" s="57"/>
      <c r="DZ12" s="57"/>
      <c r="EA12" s="57"/>
      <c r="EB12" s="57"/>
      <c r="EC12" s="57"/>
    </row>
    <row r="13" spans="1:133" s="48" customFormat="1" ht="54" customHeight="1" x14ac:dyDescent="0.2">
      <c r="A13" s="59" t="s">
        <v>22</v>
      </c>
      <c r="B13" s="60" t="s">
        <v>94</v>
      </c>
      <c r="C13" s="60" t="s">
        <v>95</v>
      </c>
      <c r="D13" s="60" t="s">
        <v>96</v>
      </c>
      <c r="E13" s="59">
        <v>2</v>
      </c>
      <c r="F13" s="59">
        <v>1</v>
      </c>
      <c r="G13" s="66" t="s">
        <v>81</v>
      </c>
      <c r="H13" s="57"/>
      <c r="I13" s="57"/>
      <c r="J13" s="57"/>
      <c r="K13" s="57"/>
      <c r="L13" s="57"/>
      <c r="M13" s="57"/>
      <c r="N13" s="57"/>
      <c r="O13" s="57"/>
      <c r="P13" s="57"/>
      <c r="Q13" s="57"/>
      <c r="R13" s="57"/>
      <c r="S13" s="57"/>
      <c r="T13" s="57"/>
      <c r="U13" s="57"/>
      <c r="V13" s="57"/>
      <c r="W13" s="57"/>
      <c r="X13" s="57"/>
      <c r="Y13" s="57"/>
      <c r="Z13" s="57"/>
      <c r="AA13" s="57"/>
      <c r="AB13" s="57"/>
      <c r="AC13" s="57"/>
      <c r="AD13" s="57"/>
      <c r="AE13" s="57"/>
      <c r="AF13" s="57"/>
      <c r="AG13" s="57"/>
      <c r="AH13" s="57"/>
      <c r="AI13" s="57"/>
      <c r="AJ13" s="57"/>
      <c r="AK13" s="57"/>
      <c r="AL13" s="57"/>
      <c r="AM13" s="57"/>
      <c r="AN13" s="57"/>
      <c r="AO13" s="57"/>
      <c r="AP13" s="57"/>
      <c r="AQ13" s="57"/>
      <c r="AR13" s="57"/>
      <c r="AS13" s="57"/>
      <c r="AT13" s="57"/>
      <c r="AU13" s="57"/>
      <c r="AV13" s="57"/>
      <c r="AW13" s="57"/>
      <c r="AX13" s="57"/>
      <c r="AY13" s="57"/>
      <c r="AZ13" s="57"/>
      <c r="BA13" s="57"/>
      <c r="BB13" s="57"/>
      <c r="BC13" s="57"/>
      <c r="BD13" s="57"/>
      <c r="BE13" s="57"/>
      <c r="BF13" s="57"/>
      <c r="BG13" s="57"/>
      <c r="BH13" s="57"/>
      <c r="BI13" s="57"/>
      <c r="BJ13" s="57"/>
      <c r="BK13" s="57"/>
      <c r="BL13" s="57"/>
      <c r="BM13" s="57"/>
      <c r="BN13" s="57"/>
      <c r="BO13" s="57"/>
      <c r="BP13" s="57"/>
      <c r="BQ13" s="57"/>
      <c r="BR13" s="57"/>
      <c r="BS13" s="57"/>
      <c r="BT13" s="57"/>
      <c r="BU13" s="57"/>
      <c r="BV13" s="57"/>
      <c r="BW13" s="57"/>
      <c r="BX13" s="57"/>
      <c r="BY13" s="57"/>
      <c r="BZ13" s="57"/>
      <c r="CA13" s="57"/>
      <c r="CB13" s="57"/>
      <c r="CC13" s="57"/>
      <c r="CD13" s="57"/>
      <c r="CE13" s="57"/>
      <c r="CF13" s="57"/>
      <c r="CG13" s="57"/>
      <c r="CH13" s="57"/>
      <c r="CI13" s="57"/>
      <c r="CJ13" s="57"/>
      <c r="CK13" s="57"/>
      <c r="CL13" s="57"/>
      <c r="CM13" s="57"/>
      <c r="CN13" s="57"/>
      <c r="CO13" s="57"/>
      <c r="CP13" s="57"/>
      <c r="CQ13" s="57"/>
      <c r="CR13" s="57"/>
      <c r="CS13" s="57"/>
      <c r="CT13" s="57"/>
      <c r="CU13" s="57"/>
      <c r="CV13" s="57"/>
      <c r="CW13" s="57"/>
      <c r="CX13" s="57"/>
      <c r="CY13" s="57"/>
      <c r="CZ13" s="57"/>
      <c r="DA13" s="57"/>
      <c r="DB13" s="57"/>
      <c r="DC13" s="57"/>
      <c r="DD13" s="57"/>
      <c r="DE13" s="57"/>
      <c r="DF13" s="57"/>
      <c r="DG13" s="57"/>
      <c r="DH13" s="57"/>
      <c r="DI13" s="57"/>
      <c r="DJ13" s="57"/>
      <c r="DK13" s="57"/>
      <c r="DL13" s="57"/>
      <c r="DM13" s="57"/>
      <c r="DN13" s="57"/>
      <c r="DO13" s="57"/>
      <c r="DP13" s="57"/>
      <c r="DQ13" s="57"/>
      <c r="DR13" s="57"/>
      <c r="DS13" s="57"/>
      <c r="DT13" s="57"/>
      <c r="DU13" s="57"/>
      <c r="DV13" s="57"/>
      <c r="DW13" s="57"/>
      <c r="DX13" s="57"/>
      <c r="DY13" s="57"/>
      <c r="DZ13" s="57"/>
      <c r="EA13" s="57"/>
      <c r="EB13" s="57"/>
      <c r="EC13" s="57"/>
    </row>
    <row r="14" spans="1:133" s="48" customFormat="1" ht="54" customHeight="1" x14ac:dyDescent="0.2">
      <c r="A14" s="59" t="s">
        <v>97</v>
      </c>
      <c r="B14" s="60" t="s">
        <v>98</v>
      </c>
      <c r="C14" s="60" t="s">
        <v>99</v>
      </c>
      <c r="D14" s="66" t="s">
        <v>100</v>
      </c>
      <c r="E14" s="59">
        <v>2</v>
      </c>
      <c r="F14" s="59">
        <v>1</v>
      </c>
      <c r="G14" s="66" t="s">
        <v>101</v>
      </c>
      <c r="H14" s="57"/>
      <c r="I14" s="57"/>
      <c r="J14" s="57"/>
      <c r="K14" s="57"/>
      <c r="L14" s="57"/>
      <c r="M14" s="57"/>
      <c r="N14" s="57"/>
      <c r="O14" s="57"/>
      <c r="P14" s="57"/>
      <c r="Q14" s="57"/>
      <c r="R14" s="57"/>
      <c r="S14" s="57"/>
      <c r="T14" s="57"/>
      <c r="U14" s="57"/>
      <c r="V14" s="57"/>
      <c r="W14" s="57"/>
      <c r="X14" s="57"/>
      <c r="Y14" s="57"/>
      <c r="Z14" s="57"/>
      <c r="AA14" s="57"/>
      <c r="AB14" s="57"/>
      <c r="AC14" s="57"/>
      <c r="AD14" s="57"/>
      <c r="AE14" s="57"/>
      <c r="AF14" s="57"/>
      <c r="AG14" s="57"/>
      <c r="AH14" s="57"/>
      <c r="AI14" s="57"/>
      <c r="AJ14" s="57"/>
      <c r="AK14" s="57"/>
      <c r="AL14" s="57"/>
      <c r="AM14" s="57"/>
      <c r="AN14" s="57"/>
      <c r="AO14" s="57"/>
      <c r="AP14" s="57"/>
      <c r="AQ14" s="57"/>
      <c r="AR14" s="57"/>
      <c r="AS14" s="57"/>
      <c r="AT14" s="57"/>
      <c r="AU14" s="57"/>
      <c r="AV14" s="57"/>
      <c r="AW14" s="57"/>
      <c r="AX14" s="57"/>
      <c r="AY14" s="57"/>
      <c r="AZ14" s="57"/>
      <c r="BA14" s="57"/>
      <c r="BB14" s="57"/>
      <c r="BC14" s="57"/>
      <c r="BD14" s="57"/>
      <c r="BE14" s="57"/>
      <c r="BF14" s="57"/>
      <c r="BG14" s="57"/>
      <c r="BH14" s="57"/>
      <c r="BI14" s="57"/>
      <c r="BJ14" s="57"/>
      <c r="BK14" s="57"/>
      <c r="BL14" s="57"/>
      <c r="BM14" s="57"/>
      <c r="BN14" s="57"/>
      <c r="BO14" s="57"/>
      <c r="BP14" s="57"/>
      <c r="BQ14" s="57"/>
      <c r="BR14" s="57"/>
      <c r="BS14" s="57"/>
      <c r="BT14" s="57"/>
      <c r="BU14" s="57"/>
      <c r="BV14" s="57"/>
      <c r="BW14" s="57"/>
      <c r="BX14" s="57"/>
      <c r="BY14" s="57"/>
      <c r="BZ14" s="57"/>
      <c r="CA14" s="57"/>
      <c r="CB14" s="57"/>
      <c r="CC14" s="57"/>
      <c r="CD14" s="57"/>
      <c r="CE14" s="57"/>
      <c r="CF14" s="57"/>
      <c r="CG14" s="57"/>
      <c r="CH14" s="57"/>
      <c r="CI14" s="57"/>
      <c r="CJ14" s="57"/>
      <c r="CK14" s="57"/>
      <c r="CL14" s="57"/>
      <c r="CM14" s="57"/>
      <c r="CN14" s="57"/>
      <c r="CO14" s="57"/>
      <c r="CP14" s="57"/>
      <c r="CQ14" s="57"/>
      <c r="CR14" s="57"/>
      <c r="CS14" s="57"/>
      <c r="CT14" s="57"/>
      <c r="CU14" s="57"/>
      <c r="CV14" s="57"/>
      <c r="CW14" s="57"/>
      <c r="CX14" s="57"/>
      <c r="CY14" s="57"/>
      <c r="CZ14" s="57"/>
      <c r="DA14" s="57"/>
      <c r="DB14" s="57"/>
      <c r="DC14" s="57"/>
      <c r="DD14" s="57"/>
      <c r="DE14" s="57"/>
      <c r="DF14" s="57"/>
      <c r="DG14" s="57"/>
      <c r="DH14" s="57"/>
      <c r="DI14" s="57"/>
      <c r="DJ14" s="57"/>
      <c r="DK14" s="57"/>
      <c r="DL14" s="57"/>
      <c r="DM14" s="57"/>
      <c r="DN14" s="57"/>
      <c r="DO14" s="57"/>
      <c r="DP14" s="57"/>
      <c r="DQ14" s="57"/>
      <c r="DR14" s="57"/>
      <c r="DS14" s="57"/>
      <c r="DT14" s="57"/>
      <c r="DU14" s="57"/>
      <c r="DV14" s="57"/>
      <c r="DW14" s="57"/>
      <c r="DX14" s="57"/>
      <c r="DY14" s="57"/>
      <c r="DZ14" s="57"/>
      <c r="EA14" s="57"/>
      <c r="EB14" s="57"/>
      <c r="EC14" s="57"/>
    </row>
    <row r="15" spans="1:133" s="48" customFormat="1" ht="54" customHeight="1" x14ac:dyDescent="0.2">
      <c r="A15" s="67" t="s">
        <v>25</v>
      </c>
      <c r="B15" s="66" t="s">
        <v>102</v>
      </c>
      <c r="C15" s="66" t="s">
        <v>103</v>
      </c>
      <c r="D15" s="66" t="s">
        <v>104</v>
      </c>
      <c r="E15" s="59">
        <v>2</v>
      </c>
      <c r="F15" s="59">
        <v>2</v>
      </c>
      <c r="G15" s="66" t="s">
        <v>105</v>
      </c>
      <c r="H15" s="57"/>
      <c r="I15" s="57"/>
      <c r="J15" s="57"/>
      <c r="K15" s="57"/>
      <c r="L15" s="57"/>
      <c r="M15" s="57"/>
      <c r="N15" s="57"/>
      <c r="O15" s="57"/>
      <c r="P15" s="57"/>
      <c r="Q15" s="57"/>
      <c r="R15" s="57"/>
      <c r="S15" s="57"/>
      <c r="T15" s="57"/>
      <c r="U15" s="57"/>
      <c r="V15" s="57"/>
      <c r="W15" s="57"/>
      <c r="X15" s="57"/>
      <c r="Y15" s="57"/>
      <c r="Z15" s="57"/>
      <c r="AA15" s="57"/>
      <c r="AB15" s="57"/>
      <c r="AC15" s="57"/>
      <c r="AD15" s="57"/>
      <c r="AE15" s="57"/>
      <c r="AF15" s="57"/>
      <c r="AG15" s="57"/>
      <c r="AH15" s="57"/>
      <c r="AI15" s="57"/>
      <c r="AJ15" s="57"/>
      <c r="AK15" s="57"/>
      <c r="AL15" s="57"/>
      <c r="AM15" s="57"/>
      <c r="AN15" s="57"/>
      <c r="AO15" s="57"/>
      <c r="AP15" s="57"/>
      <c r="AQ15" s="57"/>
      <c r="AR15" s="57"/>
      <c r="AS15" s="57"/>
      <c r="AT15" s="57"/>
      <c r="AU15" s="57"/>
      <c r="AV15" s="57"/>
      <c r="AW15" s="57"/>
      <c r="AX15" s="57"/>
      <c r="AY15" s="57"/>
      <c r="AZ15" s="57"/>
      <c r="BA15" s="57"/>
      <c r="BB15" s="57"/>
      <c r="BC15" s="57"/>
      <c r="BD15" s="57"/>
      <c r="BE15" s="57"/>
      <c r="BF15" s="57"/>
      <c r="BG15" s="57"/>
      <c r="BH15" s="57"/>
      <c r="BI15" s="57"/>
      <c r="BJ15" s="57"/>
      <c r="BK15" s="57"/>
      <c r="BL15" s="57"/>
      <c r="BM15" s="57"/>
      <c r="BN15" s="57"/>
      <c r="BO15" s="57"/>
      <c r="BP15" s="57"/>
      <c r="BQ15" s="57"/>
      <c r="BR15" s="57"/>
      <c r="BS15" s="57"/>
      <c r="BT15" s="57"/>
      <c r="BU15" s="57"/>
      <c r="BV15" s="57"/>
      <c r="BW15" s="57"/>
      <c r="BX15" s="57"/>
      <c r="BY15" s="57"/>
      <c r="BZ15" s="57"/>
      <c r="CA15" s="57"/>
      <c r="CB15" s="57"/>
      <c r="CC15" s="57"/>
      <c r="CD15" s="57"/>
      <c r="CE15" s="57"/>
      <c r="CF15" s="57"/>
      <c r="CG15" s="57"/>
      <c r="CH15" s="57"/>
      <c r="CI15" s="57"/>
      <c r="CJ15" s="57"/>
      <c r="CK15" s="57"/>
      <c r="CL15" s="57"/>
      <c r="CM15" s="57"/>
      <c r="CN15" s="57"/>
      <c r="CO15" s="57"/>
      <c r="CP15" s="57"/>
      <c r="CQ15" s="57"/>
      <c r="CR15" s="57"/>
      <c r="CS15" s="57"/>
      <c r="CT15" s="57"/>
      <c r="CU15" s="57"/>
      <c r="CV15" s="57"/>
      <c r="CW15" s="57"/>
      <c r="CX15" s="57"/>
      <c r="CY15" s="57"/>
      <c r="CZ15" s="57"/>
      <c r="DA15" s="57"/>
      <c r="DB15" s="57"/>
      <c r="DC15" s="57"/>
      <c r="DD15" s="57"/>
      <c r="DE15" s="57"/>
      <c r="DF15" s="57"/>
      <c r="DG15" s="57"/>
      <c r="DH15" s="57"/>
      <c r="DI15" s="57"/>
      <c r="DJ15" s="57"/>
      <c r="DK15" s="57"/>
      <c r="DL15" s="57"/>
      <c r="DM15" s="57"/>
      <c r="DN15" s="57"/>
      <c r="DO15" s="57"/>
      <c r="DP15" s="57"/>
      <c r="DQ15" s="57"/>
      <c r="DR15" s="57"/>
      <c r="DS15" s="57"/>
      <c r="DT15" s="57"/>
      <c r="DU15" s="57"/>
      <c r="DV15" s="57"/>
      <c r="DW15" s="57"/>
      <c r="DX15" s="57"/>
      <c r="DY15" s="57"/>
      <c r="DZ15" s="57"/>
      <c r="EA15" s="57"/>
      <c r="EB15" s="57"/>
      <c r="EC15" s="57"/>
    </row>
    <row r="16" spans="1:133" s="48" customFormat="1" ht="54" customHeight="1" x14ac:dyDescent="0.2">
      <c r="A16" s="67" t="s">
        <v>106</v>
      </c>
      <c r="B16" s="66" t="s">
        <v>107</v>
      </c>
      <c r="C16" s="66" t="s">
        <v>108</v>
      </c>
      <c r="D16" s="66" t="s">
        <v>109</v>
      </c>
      <c r="E16" s="59">
        <v>3</v>
      </c>
      <c r="F16" s="59">
        <v>2</v>
      </c>
      <c r="G16" s="66" t="s">
        <v>110</v>
      </c>
      <c r="H16" s="57"/>
      <c r="I16" s="57"/>
      <c r="J16" s="57"/>
      <c r="K16" s="57"/>
      <c r="L16" s="57"/>
      <c r="M16" s="57"/>
      <c r="N16" s="57"/>
      <c r="O16" s="57"/>
      <c r="P16" s="57"/>
      <c r="Q16" s="57"/>
      <c r="R16" s="57"/>
      <c r="S16" s="57"/>
      <c r="T16" s="57"/>
      <c r="U16" s="57"/>
      <c r="V16" s="57"/>
      <c r="W16" s="57"/>
      <c r="X16" s="57"/>
      <c r="Y16" s="57"/>
      <c r="Z16" s="57"/>
      <c r="AA16" s="57"/>
      <c r="AB16" s="57"/>
      <c r="AC16" s="57"/>
      <c r="AD16" s="57"/>
      <c r="AE16" s="57"/>
      <c r="AF16" s="57"/>
      <c r="AG16" s="57"/>
      <c r="AH16" s="57"/>
      <c r="AI16" s="57"/>
      <c r="AJ16" s="57"/>
      <c r="AK16" s="57"/>
      <c r="AL16" s="57"/>
      <c r="AM16" s="57"/>
      <c r="AN16" s="57"/>
      <c r="AO16" s="57"/>
      <c r="AP16" s="57"/>
      <c r="AQ16" s="57"/>
      <c r="AR16" s="57"/>
      <c r="AS16" s="57"/>
      <c r="AT16" s="57"/>
      <c r="AU16" s="57"/>
      <c r="AV16" s="57"/>
      <c r="AW16" s="57"/>
      <c r="AX16" s="57"/>
      <c r="AY16" s="57"/>
      <c r="AZ16" s="57"/>
      <c r="BA16" s="57"/>
      <c r="BB16" s="57"/>
      <c r="BC16" s="57"/>
      <c r="BD16" s="57"/>
      <c r="BE16" s="57"/>
      <c r="BF16" s="57"/>
      <c r="BG16" s="57"/>
      <c r="BH16" s="57"/>
      <c r="BI16" s="57"/>
      <c r="BJ16" s="57"/>
      <c r="BK16" s="57"/>
      <c r="BL16" s="57"/>
      <c r="BM16" s="57"/>
      <c r="BN16" s="57"/>
      <c r="BO16" s="57"/>
      <c r="BP16" s="57"/>
      <c r="BQ16" s="57"/>
      <c r="BR16" s="57"/>
      <c r="BS16" s="57"/>
      <c r="BT16" s="57"/>
      <c r="BU16" s="57"/>
      <c r="BV16" s="57"/>
      <c r="BW16" s="57"/>
      <c r="BX16" s="57"/>
      <c r="BY16" s="57"/>
      <c r="BZ16" s="57"/>
      <c r="CA16" s="57"/>
      <c r="CB16" s="57"/>
      <c r="CC16" s="57"/>
      <c r="CD16" s="57"/>
      <c r="CE16" s="57"/>
      <c r="CF16" s="57"/>
      <c r="CG16" s="57"/>
      <c r="CH16" s="57"/>
      <c r="CI16" s="57"/>
      <c r="CJ16" s="57"/>
      <c r="CK16" s="57"/>
      <c r="CL16" s="57"/>
      <c r="CM16" s="57"/>
      <c r="CN16" s="57"/>
      <c r="CO16" s="57"/>
      <c r="CP16" s="57"/>
      <c r="CQ16" s="57"/>
      <c r="CR16" s="57"/>
      <c r="CS16" s="57"/>
      <c r="CT16" s="57"/>
      <c r="CU16" s="57"/>
      <c r="CV16" s="57"/>
      <c r="CW16" s="57"/>
      <c r="CX16" s="57"/>
      <c r="CY16" s="57"/>
      <c r="CZ16" s="57"/>
      <c r="DA16" s="57"/>
      <c r="DB16" s="57"/>
      <c r="DC16" s="57"/>
      <c r="DD16" s="57"/>
      <c r="DE16" s="57"/>
      <c r="DF16" s="57"/>
      <c r="DG16" s="57"/>
      <c r="DH16" s="57"/>
      <c r="DI16" s="57"/>
      <c r="DJ16" s="57"/>
      <c r="DK16" s="57"/>
      <c r="DL16" s="57"/>
      <c r="DM16" s="57"/>
      <c r="DN16" s="57"/>
      <c r="DO16" s="57"/>
      <c r="DP16" s="57"/>
      <c r="DQ16" s="57"/>
      <c r="DR16" s="57"/>
      <c r="DS16" s="57"/>
      <c r="DT16" s="57"/>
      <c r="DU16" s="57"/>
      <c r="DV16" s="57"/>
      <c r="DW16" s="57"/>
      <c r="DX16" s="57"/>
      <c r="DY16" s="57"/>
      <c r="DZ16" s="57"/>
      <c r="EA16" s="57"/>
      <c r="EB16" s="57"/>
      <c r="EC16" s="57"/>
    </row>
    <row r="17" spans="1:133" s="48" customFormat="1" ht="54" customHeight="1" x14ac:dyDescent="0.2">
      <c r="A17" s="59"/>
      <c r="B17" s="60"/>
      <c r="C17" s="60"/>
      <c r="D17" s="60"/>
      <c r="E17" s="59"/>
      <c r="F17" s="59"/>
      <c r="G17" s="60"/>
      <c r="H17" s="57"/>
      <c r="I17" s="57"/>
      <c r="J17" s="57"/>
      <c r="K17" s="57"/>
      <c r="L17" s="57"/>
      <c r="M17" s="57"/>
      <c r="N17" s="57"/>
      <c r="O17" s="57"/>
      <c r="P17" s="57"/>
      <c r="Q17" s="57"/>
      <c r="R17" s="57"/>
      <c r="S17" s="57"/>
      <c r="T17" s="57"/>
      <c r="U17" s="57"/>
      <c r="V17" s="57"/>
      <c r="W17" s="57"/>
      <c r="X17" s="57"/>
      <c r="Y17" s="57"/>
      <c r="Z17" s="57"/>
      <c r="AA17" s="57"/>
      <c r="AB17" s="57"/>
      <c r="AC17" s="57"/>
      <c r="AD17" s="57"/>
      <c r="AE17" s="57"/>
      <c r="AF17" s="57"/>
      <c r="AG17" s="57"/>
      <c r="AH17" s="57"/>
      <c r="AI17" s="57"/>
      <c r="AJ17" s="57"/>
      <c r="AK17" s="57"/>
      <c r="AL17" s="57"/>
      <c r="AM17" s="57"/>
      <c r="AN17" s="57"/>
      <c r="AO17" s="57"/>
      <c r="AP17" s="57"/>
      <c r="AQ17" s="57"/>
      <c r="AR17" s="57"/>
      <c r="AS17" s="57"/>
      <c r="AT17" s="57"/>
      <c r="AU17" s="57"/>
      <c r="AV17" s="57"/>
      <c r="AW17" s="57"/>
      <c r="AX17" s="57"/>
      <c r="AY17" s="57"/>
      <c r="AZ17" s="57"/>
      <c r="BA17" s="57"/>
      <c r="BB17" s="57"/>
      <c r="BC17" s="57"/>
      <c r="BD17" s="57"/>
      <c r="BE17" s="57"/>
      <c r="BF17" s="57"/>
      <c r="BG17" s="57"/>
      <c r="BH17" s="57"/>
      <c r="BI17" s="57"/>
      <c r="BJ17" s="57"/>
      <c r="BK17" s="57"/>
      <c r="BL17" s="57"/>
      <c r="BM17" s="57"/>
      <c r="BN17" s="57"/>
      <c r="BO17" s="57"/>
      <c r="BP17" s="57"/>
      <c r="BQ17" s="57"/>
      <c r="BR17" s="57"/>
      <c r="BS17" s="57"/>
      <c r="BT17" s="57"/>
      <c r="BU17" s="57"/>
      <c r="BV17" s="57"/>
      <c r="BW17" s="57"/>
      <c r="BX17" s="57"/>
      <c r="BY17" s="57"/>
      <c r="BZ17" s="57"/>
      <c r="CA17" s="57"/>
      <c r="CB17" s="57"/>
      <c r="CC17" s="57"/>
      <c r="CD17" s="57"/>
      <c r="CE17" s="57"/>
      <c r="CF17" s="57"/>
      <c r="CG17" s="57"/>
      <c r="CH17" s="57"/>
      <c r="CI17" s="57"/>
      <c r="CJ17" s="57"/>
      <c r="CK17" s="57"/>
      <c r="CL17" s="57"/>
      <c r="CM17" s="57"/>
      <c r="CN17" s="57"/>
      <c r="CO17" s="57"/>
      <c r="CP17" s="57"/>
      <c r="CQ17" s="57"/>
      <c r="CR17" s="57"/>
      <c r="CS17" s="57"/>
      <c r="CT17" s="57"/>
      <c r="CU17" s="57"/>
      <c r="CV17" s="57"/>
      <c r="CW17" s="57"/>
      <c r="CX17" s="57"/>
      <c r="CY17" s="57"/>
      <c r="CZ17" s="57"/>
      <c r="DA17" s="57"/>
      <c r="DB17" s="57"/>
      <c r="DC17" s="57"/>
      <c r="DD17" s="57"/>
      <c r="DE17" s="57"/>
      <c r="DF17" s="57"/>
      <c r="DG17" s="57"/>
      <c r="DH17" s="57"/>
      <c r="DI17" s="57"/>
      <c r="DJ17" s="57"/>
      <c r="DK17" s="57"/>
      <c r="DL17" s="57"/>
      <c r="DM17" s="57"/>
      <c r="DN17" s="57"/>
      <c r="DO17" s="57"/>
      <c r="DP17" s="57"/>
      <c r="DQ17" s="57"/>
      <c r="DR17" s="57"/>
      <c r="DS17" s="57"/>
      <c r="DT17" s="57"/>
      <c r="DU17" s="57"/>
      <c r="DV17" s="57"/>
      <c r="DW17" s="57"/>
      <c r="DX17" s="57"/>
      <c r="DY17" s="57"/>
      <c r="DZ17" s="57"/>
      <c r="EA17" s="57"/>
      <c r="EB17" s="57"/>
      <c r="EC17" s="57"/>
    </row>
    <row r="18" spans="1:133" s="48" customFormat="1" ht="54" customHeight="1" x14ac:dyDescent="0.2">
      <c r="A18" s="59"/>
      <c r="B18" s="60"/>
      <c r="C18" s="60"/>
      <c r="D18" s="60"/>
      <c r="E18" s="59"/>
      <c r="F18" s="59"/>
      <c r="G18" s="60"/>
      <c r="H18" s="57"/>
      <c r="I18" s="57"/>
      <c r="J18" s="57"/>
      <c r="K18" s="57"/>
      <c r="L18" s="57"/>
      <c r="M18" s="57"/>
      <c r="N18" s="57"/>
      <c r="O18" s="57"/>
      <c r="P18" s="57"/>
      <c r="Q18" s="57"/>
      <c r="R18" s="57"/>
      <c r="S18" s="57"/>
      <c r="T18" s="57"/>
      <c r="U18" s="57"/>
      <c r="V18" s="57"/>
      <c r="W18" s="57"/>
      <c r="X18" s="57"/>
      <c r="Y18" s="57"/>
      <c r="Z18" s="57"/>
      <c r="AA18" s="57"/>
      <c r="AB18" s="57"/>
      <c r="AC18" s="57"/>
      <c r="AD18" s="57"/>
      <c r="AE18" s="57"/>
      <c r="AF18" s="57"/>
      <c r="AG18" s="57"/>
      <c r="AH18" s="57"/>
      <c r="AI18" s="57"/>
      <c r="AJ18" s="57"/>
      <c r="AK18" s="57"/>
      <c r="AL18" s="57"/>
      <c r="AM18" s="57"/>
      <c r="AN18" s="57"/>
      <c r="AO18" s="57"/>
      <c r="AP18" s="57"/>
      <c r="AQ18" s="57"/>
      <c r="AR18" s="57"/>
      <c r="AS18" s="57"/>
      <c r="AT18" s="57"/>
      <c r="AU18" s="57"/>
      <c r="AV18" s="57"/>
      <c r="AW18" s="57"/>
      <c r="AX18" s="57"/>
      <c r="AY18" s="57"/>
      <c r="AZ18" s="57"/>
      <c r="BA18" s="57"/>
      <c r="BB18" s="57"/>
      <c r="BC18" s="57"/>
      <c r="BD18" s="57"/>
      <c r="BE18" s="57"/>
      <c r="BF18" s="57"/>
      <c r="BG18" s="57"/>
      <c r="BH18" s="57"/>
      <c r="BI18" s="57"/>
      <c r="BJ18" s="57"/>
      <c r="BK18" s="57"/>
      <c r="BL18" s="57"/>
      <c r="BM18" s="57"/>
      <c r="BN18" s="57"/>
      <c r="BO18" s="57"/>
      <c r="BP18" s="57"/>
      <c r="BQ18" s="57"/>
      <c r="BR18" s="57"/>
      <c r="BS18" s="57"/>
      <c r="BT18" s="57"/>
      <c r="BU18" s="57"/>
      <c r="BV18" s="57"/>
      <c r="BW18" s="57"/>
      <c r="BX18" s="57"/>
      <c r="BY18" s="57"/>
      <c r="BZ18" s="57"/>
      <c r="CA18" s="57"/>
      <c r="CB18" s="57"/>
      <c r="CC18" s="57"/>
      <c r="CD18" s="57"/>
      <c r="CE18" s="57"/>
      <c r="CF18" s="57"/>
      <c r="CG18" s="57"/>
      <c r="CH18" s="57"/>
      <c r="CI18" s="57"/>
      <c r="CJ18" s="57"/>
      <c r="CK18" s="57"/>
      <c r="CL18" s="57"/>
      <c r="CM18" s="57"/>
      <c r="CN18" s="57"/>
      <c r="CO18" s="57"/>
      <c r="CP18" s="57"/>
      <c r="CQ18" s="57"/>
      <c r="CR18" s="57"/>
      <c r="CS18" s="57"/>
      <c r="CT18" s="57"/>
      <c r="CU18" s="57"/>
      <c r="CV18" s="57"/>
      <c r="CW18" s="57"/>
      <c r="CX18" s="57"/>
      <c r="CY18" s="57"/>
      <c r="CZ18" s="57"/>
      <c r="DA18" s="57"/>
      <c r="DB18" s="57"/>
      <c r="DC18" s="57"/>
      <c r="DD18" s="57"/>
      <c r="DE18" s="57"/>
      <c r="DF18" s="57"/>
      <c r="DG18" s="57"/>
      <c r="DH18" s="57"/>
      <c r="DI18" s="57"/>
      <c r="DJ18" s="57"/>
      <c r="DK18" s="57"/>
      <c r="DL18" s="57"/>
      <c r="DM18" s="57"/>
      <c r="DN18" s="57"/>
      <c r="DO18" s="57"/>
      <c r="DP18" s="57"/>
      <c r="DQ18" s="57"/>
      <c r="DR18" s="57"/>
      <c r="DS18" s="57"/>
      <c r="DT18" s="57"/>
      <c r="DU18" s="57"/>
      <c r="DV18" s="57"/>
      <c r="DW18" s="57"/>
      <c r="DX18" s="57"/>
      <c r="DY18" s="57"/>
      <c r="DZ18" s="57"/>
      <c r="EA18" s="57"/>
      <c r="EB18" s="57"/>
      <c r="EC18" s="57"/>
    </row>
    <row r="19" spans="1:133" s="48" customFormat="1" ht="54" customHeight="1" x14ac:dyDescent="0.2">
      <c r="A19" s="59"/>
      <c r="B19" s="60"/>
      <c r="C19" s="60"/>
      <c r="D19" s="60"/>
      <c r="E19" s="59"/>
      <c r="F19" s="59"/>
      <c r="G19" s="60"/>
      <c r="H19" s="57"/>
      <c r="I19" s="57"/>
      <c r="J19" s="57"/>
      <c r="K19" s="57"/>
      <c r="L19" s="57"/>
      <c r="M19" s="57"/>
      <c r="N19" s="57"/>
      <c r="O19" s="57"/>
      <c r="P19" s="57"/>
      <c r="Q19" s="57"/>
      <c r="R19" s="57"/>
      <c r="S19" s="57"/>
      <c r="T19" s="57"/>
      <c r="U19" s="57"/>
      <c r="V19" s="57"/>
      <c r="W19" s="57"/>
      <c r="X19" s="57"/>
      <c r="Y19" s="57"/>
      <c r="Z19" s="57"/>
      <c r="AA19" s="57"/>
      <c r="AB19" s="57"/>
      <c r="AC19" s="57"/>
      <c r="AD19" s="57"/>
      <c r="AE19" s="57"/>
      <c r="AF19" s="57"/>
      <c r="AG19" s="57"/>
      <c r="AH19" s="57"/>
      <c r="AI19" s="57"/>
      <c r="AJ19" s="57"/>
      <c r="AK19" s="57"/>
      <c r="AL19" s="57"/>
      <c r="AM19" s="57"/>
      <c r="AN19" s="57"/>
      <c r="AO19" s="57"/>
      <c r="AP19" s="57"/>
      <c r="AQ19" s="57"/>
      <c r="AR19" s="57"/>
      <c r="AS19" s="57"/>
      <c r="AT19" s="57"/>
      <c r="AU19" s="57"/>
      <c r="AV19" s="57"/>
      <c r="AW19" s="57"/>
      <c r="AX19" s="57"/>
      <c r="AY19" s="57"/>
      <c r="AZ19" s="57"/>
      <c r="BA19" s="57"/>
      <c r="BB19" s="57"/>
      <c r="BC19" s="57"/>
      <c r="BD19" s="57"/>
      <c r="BE19" s="57"/>
      <c r="BF19" s="57"/>
      <c r="BG19" s="57"/>
      <c r="BH19" s="57"/>
      <c r="BI19" s="57"/>
      <c r="BJ19" s="57"/>
      <c r="BK19" s="57"/>
      <c r="BL19" s="57"/>
      <c r="BM19" s="57"/>
      <c r="BN19" s="57"/>
      <c r="BO19" s="57"/>
      <c r="BP19" s="57"/>
      <c r="BQ19" s="57"/>
      <c r="BR19" s="57"/>
      <c r="BS19" s="57"/>
      <c r="BT19" s="57"/>
      <c r="BU19" s="57"/>
      <c r="BV19" s="57"/>
      <c r="BW19" s="57"/>
      <c r="BX19" s="57"/>
      <c r="BY19" s="57"/>
      <c r="BZ19" s="57"/>
      <c r="CA19" s="57"/>
      <c r="CB19" s="57"/>
      <c r="CC19" s="57"/>
      <c r="CD19" s="57"/>
      <c r="CE19" s="57"/>
      <c r="CF19" s="57"/>
      <c r="CG19" s="57"/>
      <c r="CH19" s="57"/>
      <c r="CI19" s="57"/>
      <c r="CJ19" s="57"/>
      <c r="CK19" s="57"/>
      <c r="CL19" s="57"/>
      <c r="CM19" s="57"/>
      <c r="CN19" s="57"/>
      <c r="CO19" s="57"/>
      <c r="CP19" s="57"/>
      <c r="CQ19" s="57"/>
      <c r="CR19" s="57"/>
      <c r="CS19" s="57"/>
      <c r="CT19" s="57"/>
      <c r="CU19" s="57"/>
      <c r="CV19" s="57"/>
      <c r="CW19" s="57"/>
      <c r="CX19" s="57"/>
      <c r="CY19" s="57"/>
      <c r="CZ19" s="57"/>
      <c r="DA19" s="57"/>
      <c r="DB19" s="57"/>
      <c r="DC19" s="57"/>
      <c r="DD19" s="57"/>
      <c r="DE19" s="57"/>
      <c r="DF19" s="57"/>
      <c r="DG19" s="57"/>
      <c r="DH19" s="57"/>
      <c r="DI19" s="57"/>
      <c r="DJ19" s="57"/>
      <c r="DK19" s="57"/>
      <c r="DL19" s="57"/>
      <c r="DM19" s="57"/>
      <c r="DN19" s="57"/>
      <c r="DO19" s="57"/>
      <c r="DP19" s="57"/>
      <c r="DQ19" s="57"/>
      <c r="DR19" s="57"/>
      <c r="DS19" s="57"/>
      <c r="DT19" s="57"/>
      <c r="DU19" s="57"/>
      <c r="DV19" s="57"/>
      <c r="DW19" s="57"/>
      <c r="DX19" s="57"/>
      <c r="DY19" s="57"/>
      <c r="DZ19" s="57"/>
      <c r="EA19" s="57"/>
      <c r="EB19" s="57"/>
      <c r="EC19" s="57"/>
    </row>
    <row r="20" spans="1:133" s="48" customFormat="1" ht="54" customHeight="1" x14ac:dyDescent="0.2">
      <c r="A20" s="59"/>
      <c r="B20" s="60"/>
      <c r="C20" s="60"/>
      <c r="D20" s="60"/>
      <c r="E20" s="59"/>
      <c r="F20" s="59"/>
      <c r="G20" s="60"/>
      <c r="H20" s="57"/>
      <c r="I20" s="57"/>
      <c r="J20" s="57"/>
      <c r="K20" s="57"/>
      <c r="L20" s="57"/>
      <c r="M20" s="57"/>
      <c r="N20" s="57"/>
      <c r="O20" s="57"/>
      <c r="P20" s="57"/>
      <c r="Q20" s="57"/>
      <c r="R20" s="57"/>
      <c r="S20" s="57"/>
      <c r="T20" s="57"/>
      <c r="U20" s="57"/>
      <c r="V20" s="57"/>
      <c r="W20" s="57"/>
      <c r="X20" s="57"/>
      <c r="Y20" s="57"/>
      <c r="Z20" s="57"/>
      <c r="AA20" s="57"/>
      <c r="AB20" s="57"/>
      <c r="AC20" s="57"/>
      <c r="AD20" s="57"/>
      <c r="AE20" s="57"/>
      <c r="AF20" s="57"/>
      <c r="AG20" s="57"/>
      <c r="AH20" s="57"/>
      <c r="AI20" s="57"/>
      <c r="AJ20" s="57"/>
      <c r="AK20" s="57"/>
      <c r="AL20" s="57"/>
      <c r="AM20" s="57"/>
      <c r="AN20" s="57"/>
      <c r="AO20" s="57"/>
      <c r="AP20" s="57"/>
      <c r="AQ20" s="57"/>
      <c r="AR20" s="57"/>
      <c r="AS20" s="57"/>
      <c r="AT20" s="57"/>
      <c r="AU20" s="57"/>
      <c r="AV20" s="57"/>
      <c r="AW20" s="57"/>
      <c r="AX20" s="57"/>
      <c r="AY20" s="57"/>
      <c r="AZ20" s="57"/>
      <c r="BA20" s="57"/>
      <c r="BB20" s="57"/>
      <c r="BC20" s="57"/>
      <c r="BD20" s="57"/>
      <c r="BE20" s="57"/>
      <c r="BF20" s="57"/>
      <c r="BG20" s="57"/>
      <c r="BH20" s="57"/>
      <c r="BI20" s="57"/>
      <c r="BJ20" s="57"/>
      <c r="BK20" s="57"/>
      <c r="BL20" s="57"/>
      <c r="BM20" s="57"/>
      <c r="BN20" s="57"/>
      <c r="BO20" s="57"/>
      <c r="BP20" s="57"/>
      <c r="BQ20" s="57"/>
      <c r="BR20" s="57"/>
      <c r="BS20" s="57"/>
      <c r="BT20" s="57"/>
      <c r="BU20" s="57"/>
      <c r="BV20" s="57"/>
      <c r="BW20" s="57"/>
      <c r="BX20" s="57"/>
      <c r="BY20" s="57"/>
      <c r="BZ20" s="57"/>
      <c r="CA20" s="57"/>
      <c r="CB20" s="57"/>
      <c r="CC20" s="57"/>
      <c r="CD20" s="57"/>
      <c r="CE20" s="57"/>
      <c r="CF20" s="57"/>
      <c r="CG20" s="57"/>
      <c r="CH20" s="57"/>
      <c r="CI20" s="57"/>
      <c r="CJ20" s="57"/>
      <c r="CK20" s="57"/>
      <c r="CL20" s="57"/>
      <c r="CM20" s="57"/>
      <c r="CN20" s="57"/>
      <c r="CO20" s="57"/>
      <c r="CP20" s="57"/>
      <c r="CQ20" s="57"/>
      <c r="CR20" s="57"/>
      <c r="CS20" s="57"/>
      <c r="CT20" s="57"/>
      <c r="CU20" s="57"/>
      <c r="CV20" s="57"/>
      <c r="CW20" s="57"/>
      <c r="CX20" s="57"/>
      <c r="CY20" s="57"/>
      <c r="CZ20" s="57"/>
      <c r="DA20" s="57"/>
      <c r="DB20" s="57"/>
      <c r="DC20" s="57"/>
      <c r="DD20" s="57"/>
      <c r="DE20" s="57"/>
      <c r="DF20" s="57"/>
      <c r="DG20" s="57"/>
      <c r="DH20" s="57"/>
      <c r="DI20" s="57"/>
      <c r="DJ20" s="57"/>
      <c r="DK20" s="57"/>
      <c r="DL20" s="57"/>
      <c r="DM20" s="57"/>
      <c r="DN20" s="57"/>
      <c r="DO20" s="57"/>
      <c r="DP20" s="57"/>
      <c r="DQ20" s="57"/>
      <c r="DR20" s="57"/>
      <c r="DS20" s="57"/>
      <c r="DT20" s="57"/>
      <c r="DU20" s="57"/>
      <c r="DV20" s="57"/>
      <c r="DW20" s="57"/>
      <c r="DX20" s="57"/>
      <c r="DY20" s="57"/>
      <c r="DZ20" s="57"/>
      <c r="EA20" s="57"/>
      <c r="EB20" s="57"/>
      <c r="EC20" s="57"/>
    </row>
    <row r="21" spans="1:133" s="48" customFormat="1" x14ac:dyDescent="0.2">
      <c r="A21" s="68"/>
      <c r="B21" s="68"/>
      <c r="C21" s="68"/>
      <c r="D21" s="68"/>
      <c r="E21" s="68"/>
      <c r="F21" s="68"/>
      <c r="G21" s="68"/>
      <c r="H21" s="57"/>
      <c r="I21" s="57"/>
      <c r="J21" s="57"/>
      <c r="K21" s="57"/>
      <c r="L21" s="57"/>
      <c r="M21" s="57"/>
      <c r="N21" s="57"/>
      <c r="O21" s="57"/>
      <c r="P21" s="57"/>
      <c r="Q21" s="57"/>
      <c r="R21" s="57"/>
      <c r="S21" s="57"/>
      <c r="T21" s="57"/>
      <c r="U21" s="57"/>
      <c r="V21" s="57"/>
      <c r="W21" s="57"/>
      <c r="X21" s="57"/>
      <c r="Y21" s="57"/>
      <c r="Z21" s="57"/>
      <c r="AA21" s="57"/>
      <c r="AB21" s="57"/>
      <c r="AC21" s="57"/>
      <c r="AD21" s="57"/>
      <c r="AE21" s="57"/>
      <c r="AF21" s="57"/>
      <c r="AG21" s="57"/>
      <c r="AH21" s="57"/>
      <c r="AI21" s="57"/>
      <c r="AJ21" s="57"/>
      <c r="AK21" s="57"/>
      <c r="AL21" s="57"/>
      <c r="AM21" s="57"/>
      <c r="AN21" s="57"/>
      <c r="AO21" s="57"/>
      <c r="AP21" s="57"/>
      <c r="AQ21" s="57"/>
      <c r="AR21" s="57"/>
      <c r="AS21" s="57"/>
      <c r="AT21" s="57"/>
      <c r="AU21" s="57"/>
      <c r="AV21" s="57"/>
      <c r="AW21" s="57"/>
      <c r="AX21" s="57"/>
      <c r="AY21" s="57"/>
      <c r="AZ21" s="57"/>
      <c r="BA21" s="57"/>
      <c r="BB21" s="57"/>
      <c r="BC21" s="57"/>
      <c r="BD21" s="57"/>
      <c r="BE21" s="57"/>
      <c r="BF21" s="57"/>
      <c r="BG21" s="57"/>
      <c r="BH21" s="57"/>
      <c r="BI21" s="57"/>
      <c r="BJ21" s="57"/>
      <c r="BK21" s="57"/>
      <c r="BL21" s="57"/>
      <c r="BM21" s="57"/>
      <c r="BN21" s="57"/>
      <c r="BO21" s="57"/>
      <c r="BP21" s="57"/>
      <c r="BQ21" s="57"/>
      <c r="BR21" s="57"/>
      <c r="BS21" s="57"/>
      <c r="BT21" s="57"/>
      <c r="BU21" s="57"/>
      <c r="BV21" s="57"/>
      <c r="BW21" s="57"/>
      <c r="BX21" s="57"/>
      <c r="BY21" s="57"/>
      <c r="BZ21" s="57"/>
      <c r="CA21" s="57"/>
      <c r="CB21" s="57"/>
      <c r="CC21" s="57"/>
      <c r="CD21" s="57"/>
      <c r="CE21" s="57"/>
      <c r="CF21" s="57"/>
      <c r="CG21" s="57"/>
      <c r="CH21" s="57"/>
      <c r="CI21" s="57"/>
      <c r="CJ21" s="57"/>
      <c r="CK21" s="57"/>
      <c r="CL21" s="57"/>
      <c r="CM21" s="57"/>
      <c r="CN21" s="57"/>
      <c r="CO21" s="57"/>
      <c r="CP21" s="57"/>
      <c r="CQ21" s="57"/>
      <c r="CR21" s="57"/>
      <c r="CS21" s="57"/>
      <c r="CT21" s="57"/>
      <c r="CU21" s="57"/>
      <c r="CV21" s="57"/>
      <c r="CW21" s="57"/>
      <c r="CX21" s="57"/>
      <c r="CY21" s="57"/>
      <c r="CZ21" s="57"/>
      <c r="DA21" s="57"/>
      <c r="DB21" s="57"/>
      <c r="DC21" s="57"/>
      <c r="DD21" s="57"/>
      <c r="DE21" s="57"/>
      <c r="DF21" s="57"/>
      <c r="DG21" s="57"/>
      <c r="DH21" s="57"/>
      <c r="DI21" s="57"/>
      <c r="DJ21" s="57"/>
      <c r="DK21" s="57"/>
      <c r="DL21" s="57"/>
      <c r="DM21" s="57"/>
      <c r="DN21" s="57"/>
      <c r="DO21" s="57"/>
      <c r="DP21" s="57"/>
      <c r="DQ21" s="57"/>
      <c r="DR21" s="57"/>
      <c r="DS21" s="57"/>
      <c r="DT21" s="57"/>
      <c r="DU21" s="57"/>
      <c r="DV21" s="57"/>
      <c r="DW21" s="57"/>
      <c r="DX21" s="57"/>
      <c r="DY21" s="57"/>
      <c r="DZ21" s="57"/>
      <c r="EA21" s="57"/>
      <c r="EB21" s="57"/>
      <c r="EC21" s="57"/>
    </row>
    <row r="22" spans="1:133" x14ac:dyDescent="0.25">
      <c r="A22" s="42"/>
      <c r="E22" s="42"/>
    </row>
    <row r="23" spans="1:133" x14ac:dyDescent="0.25">
      <c r="A23" s="42"/>
      <c r="E23" s="42"/>
    </row>
    <row r="24" spans="1:133" x14ac:dyDescent="0.25">
      <c r="A24" s="42"/>
      <c r="E24" s="42"/>
    </row>
  </sheetData>
  <autoFilter ref="B1:F1" xr:uid="{00000000-0009-0000-0000-000001000000}"/>
  <mergeCells count="1">
    <mergeCell ref="A2:F2"/>
  </mergeCells>
  <pageMargins left="0.75" right="0.75" top="1" bottom="1" header="0.5" footer="0.5"/>
  <pageSetup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S48"/>
  <sheetViews>
    <sheetView topLeftCell="B1" workbookViewId="0">
      <selection activeCell="E4" sqref="E4"/>
    </sheetView>
  </sheetViews>
  <sheetFormatPr defaultColWidth="11.42578125" defaultRowHeight="12.75" x14ac:dyDescent="0.2"/>
  <cols>
    <col min="1" max="1" width="6.85546875" style="5" customWidth="1"/>
    <col min="2" max="2" width="11.7109375" style="5" customWidth="1"/>
    <col min="3" max="3" width="33.85546875" style="6" customWidth="1"/>
    <col min="4" max="4" width="21.140625" style="6" customWidth="1"/>
    <col min="5" max="5" width="10.42578125" style="4" customWidth="1"/>
    <col min="6" max="12" width="11.42578125" style="4" customWidth="1"/>
    <col min="13" max="17" width="11.42578125" style="5" customWidth="1"/>
    <col min="18" max="16384" width="11.42578125" style="5"/>
  </cols>
  <sheetData>
    <row r="2" spans="1:19" ht="43.5" customHeight="1" x14ac:dyDescent="0.2">
      <c r="A2" s="84" t="str">
        <f>CONCATENATE("Sprint #",E5, "Tracking Sheet")</f>
        <v>Sprint #1Tracking Sheet</v>
      </c>
      <c r="B2" s="85"/>
      <c r="C2" s="86"/>
      <c r="D2" s="86"/>
      <c r="E2" s="87"/>
      <c r="F2" s="87"/>
      <c r="G2" s="87"/>
      <c r="H2" s="87"/>
      <c r="I2" s="87"/>
      <c r="J2" s="87"/>
      <c r="K2" s="87"/>
      <c r="L2" s="87"/>
    </row>
    <row r="4" spans="1:19" x14ac:dyDescent="0.2">
      <c r="A4" s="2"/>
      <c r="C4" s="32" t="s">
        <v>0</v>
      </c>
      <c r="D4" s="49"/>
      <c r="E4" s="93" t="s">
        <v>1</v>
      </c>
      <c r="F4" s="94"/>
      <c r="G4" s="94"/>
      <c r="H4" s="94"/>
      <c r="I4" s="94"/>
      <c r="J4" s="95"/>
    </row>
    <row r="5" spans="1:19" x14ac:dyDescent="0.2">
      <c r="C5" s="11" t="s">
        <v>2</v>
      </c>
      <c r="D5" s="11"/>
      <c r="E5" s="22">
        <v>1</v>
      </c>
    </row>
    <row r="6" spans="1:19" x14ac:dyDescent="0.2">
      <c r="C6" s="11" t="s">
        <v>3</v>
      </c>
      <c r="D6" s="11"/>
      <c r="E6" s="23">
        <v>46147</v>
      </c>
    </row>
    <row r="7" spans="1:19" ht="13.5" customHeight="1" thickBot="1" x14ac:dyDescent="0.25">
      <c r="C7" s="3"/>
      <c r="D7" s="11" t="s">
        <v>4</v>
      </c>
      <c r="E7" s="22">
        <v>5</v>
      </c>
    </row>
    <row r="8" spans="1:19" ht="13.5" customHeight="1" thickBot="1" x14ac:dyDescent="0.25">
      <c r="F8" s="90" t="s">
        <v>5</v>
      </c>
      <c r="G8" s="91"/>
      <c r="H8" s="91"/>
      <c r="I8" s="91"/>
      <c r="J8" s="91"/>
      <c r="K8" s="91"/>
      <c r="L8" s="92"/>
      <c r="M8" s="90" t="s">
        <v>6</v>
      </c>
      <c r="N8" s="91"/>
      <c r="O8" s="91"/>
      <c r="P8" s="91"/>
      <c r="Q8" s="91"/>
      <c r="R8" s="91"/>
      <c r="S8" s="92"/>
    </row>
    <row r="9" spans="1:19" ht="12.75" customHeight="1" thickBot="1" x14ac:dyDescent="0.25">
      <c r="F9" s="54">
        <v>1</v>
      </c>
      <c r="G9" s="55">
        <v>2</v>
      </c>
      <c r="H9" s="54">
        <v>3</v>
      </c>
      <c r="I9" s="55">
        <v>4</v>
      </c>
      <c r="J9" s="54">
        <v>5</v>
      </c>
      <c r="K9" s="55">
        <v>6</v>
      </c>
      <c r="L9" s="54">
        <v>7</v>
      </c>
      <c r="M9" s="55">
        <v>8</v>
      </c>
      <c r="N9" s="54">
        <v>9</v>
      </c>
      <c r="O9" s="55">
        <v>10</v>
      </c>
      <c r="P9" s="54">
        <v>11</v>
      </c>
      <c r="Q9" s="55">
        <v>12</v>
      </c>
      <c r="R9" s="54">
        <v>13</v>
      </c>
      <c r="S9" s="55">
        <v>14</v>
      </c>
    </row>
    <row r="10" spans="1:19" s="3" customFormat="1" ht="27" customHeight="1" x14ac:dyDescent="0.2">
      <c r="A10" s="17" t="s">
        <v>7</v>
      </c>
      <c r="B10" s="19" t="s">
        <v>8</v>
      </c>
      <c r="C10" s="18" t="s">
        <v>9</v>
      </c>
      <c r="D10" s="50" t="s">
        <v>10</v>
      </c>
      <c r="E10" s="20" t="s">
        <v>11</v>
      </c>
      <c r="F10" s="26">
        <f>E6</f>
        <v>46147</v>
      </c>
      <c r="G10" s="21">
        <f t="shared" ref="G10:S10" si="0">F10+1</f>
        <v>46148</v>
      </c>
      <c r="H10" s="21">
        <f t="shared" si="0"/>
        <v>46149</v>
      </c>
      <c r="I10" s="21">
        <f t="shared" si="0"/>
        <v>46150</v>
      </c>
      <c r="J10" s="21">
        <f t="shared" si="0"/>
        <v>46151</v>
      </c>
      <c r="K10" s="21">
        <f t="shared" si="0"/>
        <v>46152</v>
      </c>
      <c r="L10" s="21">
        <f t="shared" si="0"/>
        <v>46153</v>
      </c>
      <c r="M10" s="21">
        <f t="shared" si="0"/>
        <v>46154</v>
      </c>
      <c r="N10" s="21">
        <f t="shared" si="0"/>
        <v>46155</v>
      </c>
      <c r="O10" s="21">
        <f t="shared" si="0"/>
        <v>46156</v>
      </c>
      <c r="P10" s="21">
        <f t="shared" si="0"/>
        <v>46157</v>
      </c>
      <c r="Q10" s="21">
        <f t="shared" si="0"/>
        <v>46158</v>
      </c>
      <c r="R10" s="21">
        <f t="shared" si="0"/>
        <v>46159</v>
      </c>
      <c r="S10" s="21">
        <f t="shared" si="0"/>
        <v>46160</v>
      </c>
    </row>
    <row r="11" spans="1:19" s="31" customFormat="1" x14ac:dyDescent="0.2">
      <c r="A11" s="27" t="s">
        <v>111</v>
      </c>
      <c r="B11" s="28" t="s">
        <v>90</v>
      </c>
      <c r="C11" s="29" t="s">
        <v>112</v>
      </c>
      <c r="D11" s="51" t="s">
        <v>113</v>
      </c>
      <c r="E11" s="64">
        <v>2</v>
      </c>
      <c r="F11" s="30">
        <v>1</v>
      </c>
      <c r="G11" s="30"/>
      <c r="H11" s="30">
        <v>2</v>
      </c>
      <c r="I11" s="30"/>
      <c r="J11" s="28"/>
      <c r="K11" s="28"/>
      <c r="L11" s="28"/>
      <c r="M11" s="30">
        <v>3</v>
      </c>
      <c r="N11" s="30"/>
      <c r="O11" s="30"/>
      <c r="P11" s="30">
        <v>3</v>
      </c>
      <c r="Q11" s="28"/>
      <c r="R11" s="28"/>
      <c r="S11" s="28"/>
    </row>
    <row r="12" spans="1:19" s="31" customFormat="1" ht="25.5" customHeight="1" x14ac:dyDescent="0.2">
      <c r="A12" s="27" t="s">
        <v>114</v>
      </c>
      <c r="B12" s="28" t="s">
        <v>37</v>
      </c>
      <c r="C12" s="29" t="s">
        <v>115</v>
      </c>
      <c r="D12" s="51" t="s">
        <v>116</v>
      </c>
      <c r="E12" s="64">
        <v>6</v>
      </c>
      <c r="F12" s="30">
        <v>1</v>
      </c>
      <c r="G12" s="30">
        <v>2</v>
      </c>
      <c r="H12" s="30">
        <v>1</v>
      </c>
      <c r="I12" s="30">
        <v>1</v>
      </c>
      <c r="J12" s="28">
        <v>2</v>
      </c>
      <c r="K12" s="28">
        <v>1</v>
      </c>
      <c r="L12" s="28">
        <v>0</v>
      </c>
      <c r="M12" s="30">
        <v>1</v>
      </c>
      <c r="N12" s="30">
        <v>2</v>
      </c>
      <c r="O12" s="30">
        <v>1</v>
      </c>
      <c r="P12" s="30">
        <v>1</v>
      </c>
      <c r="Q12" s="28">
        <v>1</v>
      </c>
      <c r="R12" s="28">
        <v>2</v>
      </c>
      <c r="S12" s="28"/>
    </row>
    <row r="13" spans="1:19" s="31" customFormat="1" x14ac:dyDescent="0.2">
      <c r="A13" s="27" t="s">
        <v>117</v>
      </c>
      <c r="B13" s="28" t="s">
        <v>37</v>
      </c>
      <c r="C13" s="29" t="s">
        <v>118</v>
      </c>
      <c r="D13" s="51" t="s">
        <v>119</v>
      </c>
      <c r="E13" s="64">
        <v>5</v>
      </c>
      <c r="F13" s="30"/>
      <c r="G13" s="28">
        <v>3</v>
      </c>
      <c r="H13" s="28">
        <v>2</v>
      </c>
      <c r="I13" s="28"/>
      <c r="J13" s="28"/>
      <c r="K13" s="28"/>
      <c r="L13" s="28"/>
      <c r="M13" s="30"/>
      <c r="N13" s="28">
        <v>2</v>
      </c>
      <c r="O13" s="28"/>
      <c r="P13" s="28"/>
      <c r="Q13" s="28"/>
      <c r="R13" s="28"/>
      <c r="S13" s="28"/>
    </row>
    <row r="14" spans="1:19" s="31" customFormat="1" x14ac:dyDescent="0.2">
      <c r="A14" s="27" t="s">
        <v>120</v>
      </c>
      <c r="B14" s="28" t="s">
        <v>37</v>
      </c>
      <c r="C14" s="29" t="s">
        <v>121</v>
      </c>
      <c r="D14" s="51" t="s">
        <v>122</v>
      </c>
      <c r="E14" s="64">
        <v>5</v>
      </c>
      <c r="F14" s="30">
        <v>0</v>
      </c>
      <c r="G14" s="28">
        <v>1</v>
      </c>
      <c r="H14" s="28">
        <v>1</v>
      </c>
      <c r="I14" s="28">
        <v>2</v>
      </c>
      <c r="J14" s="28">
        <v>1</v>
      </c>
      <c r="K14" s="28">
        <v>1</v>
      </c>
      <c r="L14" s="28">
        <v>0</v>
      </c>
      <c r="M14" s="30">
        <v>1</v>
      </c>
      <c r="N14" s="28">
        <v>1</v>
      </c>
      <c r="O14" s="28">
        <v>1</v>
      </c>
      <c r="P14" s="28">
        <v>0</v>
      </c>
      <c r="Q14" s="28">
        <v>1</v>
      </c>
      <c r="R14" s="28">
        <v>1</v>
      </c>
      <c r="S14" s="28"/>
    </row>
    <row r="15" spans="1:19" s="31" customFormat="1" x14ac:dyDescent="0.2">
      <c r="A15" s="27" t="s">
        <v>123</v>
      </c>
      <c r="B15" s="28" t="s">
        <v>97</v>
      </c>
      <c r="C15" s="29" t="s">
        <v>124</v>
      </c>
      <c r="D15" s="51" t="s">
        <v>125</v>
      </c>
      <c r="E15" s="64">
        <v>4</v>
      </c>
      <c r="F15" s="30"/>
      <c r="G15" s="28"/>
      <c r="H15" s="28"/>
      <c r="I15" s="28"/>
      <c r="J15" s="28"/>
      <c r="K15" s="28"/>
      <c r="L15" s="28"/>
      <c r="M15" s="30"/>
      <c r="N15" s="28"/>
      <c r="O15" s="28"/>
      <c r="P15" s="28"/>
      <c r="Q15" s="28"/>
      <c r="R15" s="28"/>
      <c r="S15" s="28"/>
    </row>
    <row r="16" spans="1:19" s="31" customFormat="1" ht="25.5" customHeight="1" x14ac:dyDescent="0.2">
      <c r="A16" s="27" t="s">
        <v>126</v>
      </c>
      <c r="B16" s="28" t="s">
        <v>106</v>
      </c>
      <c r="C16" s="29" t="s">
        <v>127</v>
      </c>
      <c r="D16" s="51" t="s">
        <v>128</v>
      </c>
      <c r="E16" s="64">
        <v>2</v>
      </c>
      <c r="F16" s="30">
        <v>1</v>
      </c>
      <c r="G16" s="28">
        <v>1</v>
      </c>
      <c r="H16" s="28">
        <v>1</v>
      </c>
      <c r="I16" s="28">
        <v>1</v>
      </c>
      <c r="J16" s="28">
        <v>1</v>
      </c>
      <c r="K16" s="28">
        <v>1</v>
      </c>
      <c r="L16" s="28">
        <v>1</v>
      </c>
      <c r="M16" s="30">
        <v>1</v>
      </c>
      <c r="N16" s="28">
        <v>1</v>
      </c>
      <c r="O16" s="28">
        <v>1</v>
      </c>
      <c r="P16" s="28">
        <v>0</v>
      </c>
      <c r="Q16" s="28">
        <v>0</v>
      </c>
      <c r="R16" s="28">
        <v>0</v>
      </c>
      <c r="S16" s="28"/>
    </row>
    <row r="17" spans="1:19" s="8" customFormat="1" x14ac:dyDescent="0.2">
      <c r="A17" s="27" t="s">
        <v>129</v>
      </c>
      <c r="B17" s="28" t="s">
        <v>37</v>
      </c>
      <c r="C17" s="61" t="s">
        <v>130</v>
      </c>
      <c r="D17" s="63" t="s">
        <v>131</v>
      </c>
      <c r="E17" s="64">
        <v>6</v>
      </c>
      <c r="F17" s="30">
        <v>1</v>
      </c>
      <c r="G17" s="24">
        <v>2</v>
      </c>
      <c r="H17" s="24">
        <v>2</v>
      </c>
      <c r="I17" s="24">
        <v>1</v>
      </c>
      <c r="J17" s="24">
        <v>1</v>
      </c>
      <c r="K17" s="24">
        <v>1</v>
      </c>
      <c r="L17" s="24">
        <v>0</v>
      </c>
      <c r="M17" s="30">
        <v>1</v>
      </c>
      <c r="N17" s="24">
        <v>0</v>
      </c>
      <c r="O17" s="24">
        <v>0</v>
      </c>
      <c r="P17" s="24">
        <v>1</v>
      </c>
      <c r="Q17" s="24">
        <v>1</v>
      </c>
      <c r="R17" s="24">
        <v>1</v>
      </c>
      <c r="S17" s="24"/>
    </row>
    <row r="18" spans="1:19" s="8" customFormat="1" ht="13.5" customHeight="1" thickBot="1" x14ac:dyDescent="0.25">
      <c r="A18" s="56" t="s">
        <v>132</v>
      </c>
      <c r="B18" s="69" t="s">
        <v>37</v>
      </c>
      <c r="C18" s="62" t="s">
        <v>133</v>
      </c>
      <c r="D18" s="62" t="s">
        <v>128</v>
      </c>
      <c r="E18" s="65">
        <v>2</v>
      </c>
      <c r="F18" s="56">
        <v>0</v>
      </c>
      <c r="G18" s="25">
        <v>0</v>
      </c>
      <c r="H18" s="25">
        <v>1</v>
      </c>
      <c r="I18" s="25">
        <v>1</v>
      </c>
      <c r="J18" s="25">
        <v>1</v>
      </c>
      <c r="K18" s="25">
        <v>0</v>
      </c>
      <c r="L18" s="25">
        <v>1</v>
      </c>
      <c r="M18" s="56">
        <v>0</v>
      </c>
      <c r="N18" s="25">
        <v>1</v>
      </c>
      <c r="O18" s="25">
        <v>1</v>
      </c>
      <c r="P18" s="25">
        <v>1</v>
      </c>
      <c r="Q18" s="25">
        <v>1</v>
      </c>
      <c r="R18" s="25">
        <v>2</v>
      </c>
      <c r="S18" s="25"/>
    </row>
    <row r="19" spans="1:19" ht="25.5" customHeight="1" x14ac:dyDescent="0.2">
      <c r="A19" s="27" t="s">
        <v>134</v>
      </c>
      <c r="B19" s="28" t="s">
        <v>37</v>
      </c>
      <c r="C19" s="61" t="s">
        <v>135</v>
      </c>
      <c r="D19" s="63" t="s">
        <v>128</v>
      </c>
      <c r="E19" s="64">
        <v>2</v>
      </c>
      <c r="F19" s="30">
        <v>0</v>
      </c>
      <c r="G19" s="24">
        <v>1</v>
      </c>
      <c r="H19" s="24">
        <v>0</v>
      </c>
      <c r="I19" s="24">
        <v>1</v>
      </c>
      <c r="J19" s="24">
        <v>1</v>
      </c>
      <c r="K19" s="24">
        <v>0</v>
      </c>
      <c r="L19" s="24">
        <v>1</v>
      </c>
      <c r="M19" s="30">
        <v>0</v>
      </c>
      <c r="N19" s="24">
        <v>1</v>
      </c>
      <c r="O19" s="24">
        <v>1</v>
      </c>
      <c r="P19" s="24">
        <v>1</v>
      </c>
      <c r="Q19" s="24">
        <v>1</v>
      </c>
      <c r="R19" s="24">
        <v>2</v>
      </c>
      <c r="S19" s="24"/>
    </row>
    <row r="20" spans="1:19" ht="26.25" customHeight="1" thickBot="1" x14ac:dyDescent="0.25">
      <c r="A20" s="56" t="s">
        <v>136</v>
      </c>
      <c r="B20" s="69" t="s">
        <v>90</v>
      </c>
      <c r="C20" s="62" t="s">
        <v>137</v>
      </c>
      <c r="D20" s="62" t="s">
        <v>128</v>
      </c>
      <c r="E20" s="65">
        <v>3</v>
      </c>
      <c r="F20" s="56">
        <v>0</v>
      </c>
      <c r="G20" s="25">
        <v>0</v>
      </c>
      <c r="H20" s="25">
        <v>0</v>
      </c>
      <c r="I20" s="25">
        <v>0</v>
      </c>
      <c r="J20" s="25">
        <v>0</v>
      </c>
      <c r="K20" s="25">
        <v>0</v>
      </c>
      <c r="L20" s="25">
        <v>0</v>
      </c>
      <c r="M20" s="56">
        <v>0</v>
      </c>
      <c r="N20" s="25">
        <v>0</v>
      </c>
      <c r="O20" s="25">
        <v>0</v>
      </c>
      <c r="P20" s="25">
        <v>0</v>
      </c>
      <c r="Q20" s="25">
        <v>0</v>
      </c>
      <c r="R20" s="25">
        <v>0</v>
      </c>
      <c r="S20" s="25"/>
    </row>
    <row r="21" spans="1:19" x14ac:dyDescent="0.2">
      <c r="A21" s="27" t="s">
        <v>138</v>
      </c>
      <c r="B21" s="28" t="s">
        <v>90</v>
      </c>
      <c r="C21" s="61" t="s">
        <v>139</v>
      </c>
      <c r="D21" s="63" t="s">
        <v>128</v>
      </c>
      <c r="E21" s="64">
        <v>2</v>
      </c>
      <c r="F21" s="30">
        <v>0</v>
      </c>
      <c r="G21" s="24">
        <v>0</v>
      </c>
      <c r="H21" s="24">
        <v>0</v>
      </c>
      <c r="I21" s="24">
        <v>0</v>
      </c>
      <c r="J21" s="24">
        <v>0</v>
      </c>
      <c r="K21" s="24">
        <v>0</v>
      </c>
      <c r="L21" s="24">
        <v>0</v>
      </c>
      <c r="M21" s="30">
        <v>0</v>
      </c>
      <c r="N21" s="24">
        <v>0</v>
      </c>
      <c r="O21" s="24">
        <v>0</v>
      </c>
      <c r="P21" s="24">
        <v>0</v>
      </c>
      <c r="Q21" s="24">
        <v>0</v>
      </c>
      <c r="R21" s="24">
        <v>0</v>
      </c>
      <c r="S21" s="24"/>
    </row>
    <row r="22" spans="1:19" ht="13.5" customHeight="1" thickBot="1" x14ac:dyDescent="0.25">
      <c r="A22" s="56" t="s">
        <v>140</v>
      </c>
      <c r="B22" s="69" t="s">
        <v>37</v>
      </c>
      <c r="C22" s="62" t="s">
        <v>141</v>
      </c>
      <c r="D22" s="62" t="s">
        <v>128</v>
      </c>
      <c r="E22" s="65">
        <v>2</v>
      </c>
      <c r="F22" s="56">
        <v>0</v>
      </c>
      <c r="G22" s="25">
        <v>0</v>
      </c>
      <c r="H22" s="25">
        <v>0</v>
      </c>
      <c r="I22" s="25">
        <v>0</v>
      </c>
      <c r="J22" s="25">
        <v>0</v>
      </c>
      <c r="K22" s="25">
        <v>0</v>
      </c>
      <c r="L22" s="25">
        <v>0</v>
      </c>
      <c r="M22" s="56">
        <v>0</v>
      </c>
      <c r="N22" s="25">
        <v>0</v>
      </c>
      <c r="O22" s="25">
        <v>0</v>
      </c>
      <c r="P22" s="25">
        <v>0</v>
      </c>
      <c r="Q22" s="25">
        <v>0</v>
      </c>
      <c r="R22" s="25">
        <v>0</v>
      </c>
      <c r="S22" s="25"/>
    </row>
    <row r="23" spans="1:19" ht="13.5" customHeight="1" thickBot="1" x14ac:dyDescent="0.25">
      <c r="A23" s="56" t="s">
        <v>142</v>
      </c>
      <c r="B23" s="69" t="s">
        <v>37</v>
      </c>
      <c r="C23" s="62" t="s">
        <v>143</v>
      </c>
      <c r="D23" s="62" t="s">
        <v>128</v>
      </c>
      <c r="E23" s="65">
        <v>1</v>
      </c>
      <c r="F23" s="56">
        <v>1</v>
      </c>
      <c r="G23" s="25">
        <v>1</v>
      </c>
      <c r="H23" s="25">
        <v>1</v>
      </c>
      <c r="I23" s="25">
        <v>1</v>
      </c>
      <c r="J23" s="25">
        <v>1</v>
      </c>
      <c r="K23" s="25">
        <v>1</v>
      </c>
      <c r="L23" s="25">
        <v>1</v>
      </c>
      <c r="M23" s="56">
        <v>1</v>
      </c>
      <c r="N23" s="25">
        <v>1</v>
      </c>
      <c r="O23" s="25">
        <v>1</v>
      </c>
      <c r="P23" s="25">
        <v>1</v>
      </c>
      <c r="Q23" s="25">
        <v>1</v>
      </c>
      <c r="R23" s="25">
        <v>2</v>
      </c>
      <c r="S23" s="25"/>
    </row>
    <row r="24" spans="1:19" x14ac:dyDescent="0.2">
      <c r="C24" s="12" t="s">
        <v>60</v>
      </c>
      <c r="D24" s="52"/>
      <c r="E24" s="88">
        <v>42</v>
      </c>
      <c r="F24" s="9">
        <f>IF(SUM(F11:F23)&gt;0,E24-SUM(F11:F23),NA())</f>
        <v>37</v>
      </c>
      <c r="G24" s="9">
        <f>IF(SUM(G11:G23)&gt;0,E24-SUM(F11:G23),NA())</f>
        <v>26</v>
      </c>
      <c r="H24" s="9">
        <f>IF(SUM(H11:H23)&gt;0,F24-SUM(G11:H23),NA())</f>
        <v>15</v>
      </c>
      <c r="I24" s="9">
        <f>IF(SUM(I11:I23)&gt;0,E24-SUM(F11:I23),NA())</f>
        <v>7</v>
      </c>
      <c r="J24" s="9">
        <f>IF(SUM(J11:J23)&gt;0,E24-SUM(F11:J23),NA())</f>
        <v>-1</v>
      </c>
      <c r="K24" s="9">
        <f>IF(SUM(K11:K23)&gt;0,E24-SUM(F11:K23),NA())</f>
        <v>-6</v>
      </c>
      <c r="L24" s="9">
        <f>IF(SUM(L11:L23)&gt;0,E24-SUM(F11:L23),NA())</f>
        <v>-10</v>
      </c>
      <c r="M24" s="9">
        <f>IF(SUM(M11:M23)&gt;0,E24-SUM(F11:M23),NA())</f>
        <v>-18</v>
      </c>
      <c r="N24" s="9">
        <f>IF(SUM(N11:N23)&gt;0,E24-SUM(F11:N23),NA())</f>
        <v>-27</v>
      </c>
      <c r="O24" s="9">
        <f>IF(SUM(O11:O23)&gt;0,E24-SUM(F11:O23),NA())</f>
        <v>-33</v>
      </c>
      <c r="P24" s="9">
        <f>IF(SUM(P11:P23)&gt;0,E24-SUM(F11:P23),NA())</f>
        <v>-41</v>
      </c>
      <c r="Q24" s="9">
        <f>IF(SUM(Q11:Q23)&gt;0,E24-SUM(F11:Q23),NA())</f>
        <v>-47</v>
      </c>
      <c r="R24" s="9">
        <f>IF(SUM(R11:R23)&gt;0,E24-SUM(F11:R23),NA())</f>
        <v>-57</v>
      </c>
      <c r="S24" s="9" t="e">
        <f>IF(SUM(S11:S23)&gt;0,E24-SUM(F11:S23),NA())</f>
        <v>#N/A</v>
      </c>
    </row>
    <row r="25" spans="1:19" x14ac:dyDescent="0.2">
      <c r="C25" s="12" t="s">
        <v>61</v>
      </c>
      <c r="D25" s="53"/>
      <c r="E25" s="89"/>
      <c r="F25" s="10">
        <f>E24-(E24/14)</f>
        <v>39</v>
      </c>
      <c r="G25" s="10">
        <f>F25-(E24/14)</f>
        <v>36</v>
      </c>
      <c r="H25" s="10">
        <f>G25-(E24/14)</f>
        <v>33</v>
      </c>
      <c r="I25" s="10">
        <f>H25-(E24/14)</f>
        <v>30</v>
      </c>
      <c r="J25" s="10">
        <f>I25-(E24/14)</f>
        <v>27</v>
      </c>
      <c r="K25" s="10">
        <f>J25-(E24/14)</f>
        <v>24</v>
      </c>
      <c r="L25" s="10">
        <f>K25-(E24/14)</f>
        <v>21</v>
      </c>
      <c r="M25" s="10">
        <f>L25-(E24/14)</f>
        <v>18</v>
      </c>
      <c r="N25" s="10">
        <f>M25-(E24/14)</f>
        <v>15</v>
      </c>
      <c r="O25" s="10">
        <f>N25-(E24/14)</f>
        <v>12</v>
      </c>
      <c r="P25" s="10">
        <f>O25-(E24/14)</f>
        <v>9</v>
      </c>
      <c r="Q25" s="10">
        <f>P25-(E24/14)</f>
        <v>6</v>
      </c>
      <c r="R25" s="10">
        <f>Q25-(E24/14)</f>
        <v>3</v>
      </c>
      <c r="S25" s="10">
        <f>R25-(E24/14)</f>
        <v>0</v>
      </c>
    </row>
    <row r="26" spans="1:19" x14ac:dyDescent="0.2">
      <c r="M26" s="4"/>
      <c r="N26" s="4"/>
      <c r="O26" s="4"/>
      <c r="P26" s="4"/>
      <c r="Q26" s="4"/>
      <c r="R26" s="4"/>
      <c r="S26" s="4"/>
    </row>
    <row r="27" spans="1:19" x14ac:dyDescent="0.2">
      <c r="M27" s="4"/>
      <c r="N27" s="4"/>
      <c r="O27" s="4"/>
      <c r="P27" s="4"/>
      <c r="Q27" s="4"/>
      <c r="R27" s="4"/>
      <c r="S27" s="4"/>
    </row>
    <row r="28" spans="1:19" x14ac:dyDescent="0.2">
      <c r="M28" s="4"/>
      <c r="N28" s="4"/>
      <c r="O28" s="4"/>
      <c r="P28" s="4"/>
      <c r="Q28" s="4"/>
      <c r="R28" s="4"/>
      <c r="S28" s="4"/>
    </row>
    <row r="29" spans="1:19" x14ac:dyDescent="0.2">
      <c r="M29" s="4"/>
      <c r="N29" s="4"/>
      <c r="O29" s="4"/>
      <c r="P29" s="4"/>
      <c r="Q29" s="4"/>
      <c r="R29" s="4"/>
      <c r="S29" s="4"/>
    </row>
    <row r="30" spans="1:19" x14ac:dyDescent="0.2">
      <c r="K30" s="7">
        <v>0</v>
      </c>
      <c r="L30" s="4">
        <f>SUM(E11:E19)</f>
        <v>34</v>
      </c>
      <c r="M30" s="4"/>
      <c r="N30" s="4"/>
      <c r="O30" s="4"/>
      <c r="P30" s="4"/>
      <c r="Q30" s="4"/>
      <c r="R30" s="7">
        <v>0</v>
      </c>
      <c r="S30" s="4"/>
    </row>
    <row r="31" spans="1:19" x14ac:dyDescent="0.2">
      <c r="K31" s="7">
        <v>10</v>
      </c>
      <c r="L31" s="7">
        <v>0</v>
      </c>
      <c r="M31" s="4"/>
      <c r="N31" s="4"/>
      <c r="O31" s="4"/>
      <c r="P31" s="4"/>
      <c r="Q31" s="4"/>
      <c r="R31" s="7">
        <v>10</v>
      </c>
      <c r="S31" s="7"/>
    </row>
    <row r="32" spans="1:19" x14ac:dyDescent="0.2">
      <c r="M32" s="4"/>
      <c r="N32" s="4"/>
      <c r="O32" s="4"/>
      <c r="P32" s="4"/>
      <c r="Q32" s="4"/>
      <c r="R32" s="4"/>
      <c r="S32" s="4"/>
    </row>
    <row r="33" spans="13:19" x14ac:dyDescent="0.2">
      <c r="M33" s="4"/>
      <c r="N33" s="4"/>
      <c r="O33" s="4"/>
      <c r="P33" s="4"/>
      <c r="Q33" s="4"/>
      <c r="R33" s="4"/>
      <c r="S33" s="4"/>
    </row>
    <row r="34" spans="13:19" x14ac:dyDescent="0.2">
      <c r="M34" s="4"/>
      <c r="N34" s="4"/>
      <c r="O34" s="4"/>
      <c r="P34" s="4"/>
      <c r="Q34" s="4"/>
      <c r="R34" s="4"/>
      <c r="S34" s="4"/>
    </row>
    <row r="35" spans="13:19" x14ac:dyDescent="0.2">
      <c r="M35" s="4"/>
      <c r="N35" s="4"/>
      <c r="O35" s="4"/>
      <c r="P35" s="4"/>
      <c r="Q35" s="4"/>
      <c r="R35" s="4"/>
      <c r="S35" s="4"/>
    </row>
    <row r="36" spans="13:19" x14ac:dyDescent="0.2">
      <c r="M36" s="4"/>
      <c r="N36" s="4"/>
      <c r="O36" s="4"/>
      <c r="P36" s="4"/>
      <c r="Q36" s="4"/>
      <c r="R36" s="4"/>
      <c r="S36" s="4"/>
    </row>
    <row r="37" spans="13:19" x14ac:dyDescent="0.2">
      <c r="M37" s="4"/>
      <c r="N37" s="4"/>
      <c r="O37" s="4"/>
      <c r="P37" s="4"/>
      <c r="Q37" s="4"/>
      <c r="R37" s="4"/>
      <c r="S37" s="4"/>
    </row>
    <row r="38" spans="13:19" x14ac:dyDescent="0.2">
      <c r="M38" s="4"/>
      <c r="N38" s="4"/>
      <c r="O38" s="4"/>
      <c r="P38" s="4"/>
      <c r="Q38" s="4"/>
      <c r="R38" s="4"/>
      <c r="S38" s="4"/>
    </row>
    <row r="39" spans="13:19" x14ac:dyDescent="0.2">
      <c r="M39" s="4"/>
      <c r="N39" s="4"/>
      <c r="O39" s="4"/>
      <c r="P39" s="4"/>
      <c r="Q39" s="4"/>
      <c r="R39" s="4"/>
      <c r="S39" s="4"/>
    </row>
    <row r="40" spans="13:19" x14ac:dyDescent="0.2">
      <c r="M40" s="4"/>
      <c r="N40" s="4"/>
      <c r="O40" s="4"/>
      <c r="P40" s="4"/>
      <c r="Q40" s="4"/>
      <c r="R40" s="4"/>
      <c r="S40" s="4"/>
    </row>
    <row r="41" spans="13:19" x14ac:dyDescent="0.2">
      <c r="M41" s="4"/>
      <c r="N41" s="4"/>
      <c r="O41" s="4"/>
      <c r="P41" s="4"/>
      <c r="Q41" s="4"/>
      <c r="R41" s="4"/>
      <c r="S41" s="4"/>
    </row>
    <row r="42" spans="13:19" x14ac:dyDescent="0.2">
      <c r="M42" s="4"/>
      <c r="N42" s="4"/>
      <c r="O42" s="4"/>
      <c r="P42" s="4"/>
      <c r="Q42" s="4"/>
      <c r="R42" s="4"/>
      <c r="S42" s="4"/>
    </row>
    <row r="43" spans="13:19" x14ac:dyDescent="0.2">
      <c r="M43" s="4"/>
      <c r="N43" s="4"/>
      <c r="O43" s="4"/>
      <c r="P43" s="4"/>
      <c r="Q43" s="4"/>
      <c r="R43" s="4"/>
      <c r="S43" s="4"/>
    </row>
    <row r="44" spans="13:19" x14ac:dyDescent="0.2">
      <c r="M44" s="4"/>
      <c r="N44" s="4"/>
      <c r="O44" s="4"/>
      <c r="P44" s="4"/>
      <c r="Q44" s="4"/>
      <c r="R44" s="4"/>
      <c r="S44" s="4"/>
    </row>
    <row r="45" spans="13:19" x14ac:dyDescent="0.2">
      <c r="M45" s="4"/>
      <c r="N45" s="4"/>
      <c r="O45" s="4"/>
      <c r="P45" s="4"/>
      <c r="Q45" s="4"/>
      <c r="R45" s="4"/>
      <c r="S45" s="4"/>
    </row>
    <row r="46" spans="13:19" x14ac:dyDescent="0.2">
      <c r="M46" s="4"/>
      <c r="N46" s="4"/>
      <c r="O46" s="4"/>
      <c r="P46" s="4"/>
      <c r="Q46" s="4"/>
      <c r="R46" s="4"/>
      <c r="S46" s="4"/>
    </row>
    <row r="47" spans="13:19" x14ac:dyDescent="0.2">
      <c r="M47" s="4"/>
      <c r="N47" s="4"/>
      <c r="O47" s="4"/>
      <c r="P47" s="4"/>
      <c r="Q47" s="4"/>
      <c r="R47" s="4"/>
      <c r="S47" s="4"/>
    </row>
    <row r="48" spans="13:19" x14ac:dyDescent="0.2">
      <c r="M48" s="4"/>
      <c r="N48" s="4"/>
      <c r="O48" s="4"/>
      <c r="P48" s="4"/>
      <c r="Q48" s="4"/>
      <c r="R48" s="4"/>
      <c r="S48" s="4"/>
    </row>
  </sheetData>
  <autoFilter ref="A10:E10" xr:uid="{00000000-0009-0000-0000-000002000000}"/>
  <mergeCells count="5">
    <mergeCell ref="A2:L2"/>
    <mergeCell ref="F8:L8"/>
    <mergeCell ref="M8:S8"/>
    <mergeCell ref="E4:J4"/>
    <mergeCell ref="E24:E25"/>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S59"/>
  <sheetViews>
    <sheetView tabSelected="1" topLeftCell="A11" workbookViewId="0">
      <selection activeCell="K35" sqref="K35"/>
    </sheetView>
  </sheetViews>
  <sheetFormatPr defaultColWidth="11.42578125" defaultRowHeight="12.75" x14ac:dyDescent="0.2"/>
  <cols>
    <col min="1" max="2" width="6.85546875" style="5" customWidth="1"/>
    <col min="3" max="3" width="41" style="6" customWidth="1"/>
    <col min="4" max="4" width="21.140625" style="6" customWidth="1"/>
    <col min="5" max="5" width="10.42578125" style="4" customWidth="1"/>
    <col min="6" max="12" width="11.42578125" style="4" customWidth="1"/>
    <col min="13" max="17" width="11.42578125" style="5" customWidth="1"/>
    <col min="18" max="16384" width="11.42578125" style="5"/>
  </cols>
  <sheetData>
    <row r="2" spans="1:19" ht="43.5" customHeight="1" x14ac:dyDescent="0.2">
      <c r="A2" s="84" t="str">
        <f>CONCATENATE("Sprint #",E5, "Tracking Sheet")</f>
        <v>Sprint #2Tracking Sheet</v>
      </c>
      <c r="B2" s="85"/>
      <c r="C2" s="86"/>
      <c r="D2" s="86"/>
      <c r="E2" s="87"/>
      <c r="F2" s="87"/>
      <c r="G2" s="87"/>
      <c r="H2" s="87"/>
      <c r="I2" s="87"/>
      <c r="J2" s="87"/>
      <c r="K2" s="87"/>
      <c r="L2" s="87"/>
    </row>
    <row r="4" spans="1:19" x14ac:dyDescent="0.2">
      <c r="A4" s="2"/>
      <c r="C4" s="32" t="s">
        <v>0</v>
      </c>
      <c r="D4" s="49"/>
      <c r="E4" s="93" t="s">
        <v>1</v>
      </c>
      <c r="F4" s="94"/>
      <c r="G4" s="94"/>
      <c r="H4" s="94"/>
      <c r="I4" s="94"/>
      <c r="J4" s="95"/>
    </row>
    <row r="5" spans="1:19" x14ac:dyDescent="0.2">
      <c r="C5" s="11" t="s">
        <v>2</v>
      </c>
      <c r="D5" s="11"/>
      <c r="E5" s="22">
        <v>2</v>
      </c>
    </row>
    <row r="6" spans="1:19" x14ac:dyDescent="0.2">
      <c r="C6" s="11" t="s">
        <v>3</v>
      </c>
      <c r="D6" s="11"/>
      <c r="E6" s="23">
        <v>46161</v>
      </c>
    </row>
    <row r="7" spans="1:19" ht="13.5" customHeight="1" thickBot="1" x14ac:dyDescent="0.25">
      <c r="C7" s="3"/>
      <c r="D7" s="11" t="s">
        <v>4</v>
      </c>
      <c r="E7" s="22">
        <v>5</v>
      </c>
    </row>
    <row r="8" spans="1:19" ht="13.5" customHeight="1" thickBot="1" x14ac:dyDescent="0.25">
      <c r="F8" s="90" t="s">
        <v>5</v>
      </c>
      <c r="G8" s="91"/>
      <c r="H8" s="91"/>
      <c r="I8" s="91"/>
      <c r="J8" s="91"/>
      <c r="K8" s="91"/>
      <c r="L8" s="92"/>
      <c r="M8" s="90" t="s">
        <v>6</v>
      </c>
      <c r="N8" s="91"/>
      <c r="O8" s="91"/>
      <c r="P8" s="91"/>
      <c r="Q8" s="91"/>
      <c r="R8" s="91"/>
      <c r="S8" s="92"/>
    </row>
    <row r="9" spans="1:19" ht="12.75" customHeight="1" thickBot="1" x14ac:dyDescent="0.25">
      <c r="F9" s="54">
        <v>1</v>
      </c>
      <c r="G9" s="55">
        <v>2</v>
      </c>
      <c r="H9" s="54">
        <v>3</v>
      </c>
      <c r="I9" s="55">
        <v>4</v>
      </c>
      <c r="J9" s="54">
        <v>5</v>
      </c>
      <c r="K9" s="55">
        <v>6</v>
      </c>
      <c r="L9" s="54">
        <v>7</v>
      </c>
      <c r="M9" s="55">
        <v>8</v>
      </c>
      <c r="N9" s="54">
        <v>9</v>
      </c>
      <c r="O9" s="55">
        <v>10</v>
      </c>
      <c r="P9" s="54">
        <v>11</v>
      </c>
      <c r="Q9" s="55">
        <v>12</v>
      </c>
      <c r="R9" s="54">
        <v>13</v>
      </c>
      <c r="S9" s="55">
        <v>14</v>
      </c>
    </row>
    <row r="10" spans="1:19" s="3" customFormat="1" ht="27" customHeight="1" x14ac:dyDescent="0.2">
      <c r="A10" s="70" t="s">
        <v>7</v>
      </c>
      <c r="B10" s="71" t="s">
        <v>8</v>
      </c>
      <c r="C10" s="72" t="s">
        <v>9</v>
      </c>
      <c r="D10" s="73" t="s">
        <v>10</v>
      </c>
      <c r="E10" s="74" t="s">
        <v>11</v>
      </c>
      <c r="F10" s="75">
        <f>E6</f>
        <v>46161</v>
      </c>
      <c r="G10" s="76">
        <f t="shared" ref="G10:S10" si="0">F10+1</f>
        <v>46162</v>
      </c>
      <c r="H10" s="76">
        <f t="shared" si="0"/>
        <v>46163</v>
      </c>
      <c r="I10" s="76">
        <f t="shared" si="0"/>
        <v>46164</v>
      </c>
      <c r="J10" s="76">
        <f t="shared" si="0"/>
        <v>46165</v>
      </c>
      <c r="K10" s="76">
        <f t="shared" si="0"/>
        <v>46166</v>
      </c>
      <c r="L10" s="76">
        <f t="shared" si="0"/>
        <v>46167</v>
      </c>
      <c r="M10" s="76">
        <f t="shared" si="0"/>
        <v>46168</v>
      </c>
      <c r="N10" s="76">
        <f t="shared" si="0"/>
        <v>46169</v>
      </c>
      <c r="O10" s="76">
        <f t="shared" si="0"/>
        <v>46170</v>
      </c>
      <c r="P10" s="76">
        <f t="shared" si="0"/>
        <v>46171</v>
      </c>
      <c r="Q10" s="76">
        <f t="shared" si="0"/>
        <v>46172</v>
      </c>
      <c r="R10" s="76">
        <f t="shared" si="0"/>
        <v>46173</v>
      </c>
      <c r="S10" s="76">
        <f t="shared" si="0"/>
        <v>46174</v>
      </c>
    </row>
    <row r="11" spans="1:19" s="31" customFormat="1" ht="84" customHeight="1" x14ac:dyDescent="0.2">
      <c r="A11" s="27" t="s">
        <v>12</v>
      </c>
      <c r="B11" s="28" t="s">
        <v>13</v>
      </c>
      <c r="C11" s="77" t="s">
        <v>14</v>
      </c>
      <c r="D11" s="78" t="s">
        <v>15</v>
      </c>
      <c r="E11" s="64">
        <v>3</v>
      </c>
      <c r="F11" s="30"/>
      <c r="G11" s="30">
        <v>3</v>
      </c>
      <c r="H11" s="30"/>
      <c r="I11" s="30"/>
      <c r="J11" s="28"/>
      <c r="K11" s="28"/>
      <c r="L11" s="28"/>
      <c r="M11" s="30"/>
      <c r="N11" s="30"/>
      <c r="O11" s="30"/>
      <c r="P11" s="30"/>
      <c r="Q11" s="28"/>
      <c r="R11" s="28"/>
      <c r="S11" s="28"/>
    </row>
    <row r="12" spans="1:19" s="31" customFormat="1" ht="84" customHeight="1" x14ac:dyDescent="0.2">
      <c r="A12" s="27" t="s">
        <v>16</v>
      </c>
      <c r="B12" s="28" t="s">
        <v>13</v>
      </c>
      <c r="C12" s="77" t="s">
        <v>17</v>
      </c>
      <c r="D12" s="51" t="s">
        <v>18</v>
      </c>
      <c r="E12" s="64">
        <v>4</v>
      </c>
      <c r="F12" s="30"/>
      <c r="G12" s="30">
        <v>5</v>
      </c>
      <c r="H12" s="30"/>
      <c r="I12" s="30"/>
      <c r="J12" s="28"/>
      <c r="K12" s="28"/>
      <c r="L12" s="28"/>
      <c r="M12" s="30"/>
      <c r="N12" s="30"/>
      <c r="O12" s="30"/>
      <c r="P12" s="30"/>
      <c r="Q12" s="28"/>
      <c r="R12" s="28"/>
      <c r="S12" s="28"/>
    </row>
    <row r="13" spans="1:19" s="31" customFormat="1" ht="72" customHeight="1" x14ac:dyDescent="0.2">
      <c r="A13" s="27" t="s">
        <v>19</v>
      </c>
      <c r="B13" s="28" t="s">
        <v>13</v>
      </c>
      <c r="C13" s="29" t="s">
        <v>20</v>
      </c>
      <c r="D13" s="51" t="s">
        <v>18</v>
      </c>
      <c r="E13" s="64">
        <v>3</v>
      </c>
      <c r="F13" s="30">
        <v>2.5</v>
      </c>
      <c r="G13" s="28"/>
      <c r="H13" s="28"/>
      <c r="I13" s="28"/>
      <c r="J13" s="28"/>
      <c r="K13" s="28"/>
      <c r="L13" s="28"/>
      <c r="M13" s="30"/>
      <c r="N13" s="28"/>
      <c r="O13" s="28"/>
      <c r="P13" s="28"/>
      <c r="Q13" s="28"/>
      <c r="R13" s="28"/>
      <c r="S13" s="28"/>
    </row>
    <row r="14" spans="1:19" s="31" customFormat="1" ht="72" customHeight="1" x14ac:dyDescent="0.2">
      <c r="A14" s="27" t="s">
        <v>21</v>
      </c>
      <c r="B14" s="28" t="s">
        <v>22</v>
      </c>
      <c r="C14" s="77" t="s">
        <v>23</v>
      </c>
      <c r="D14" s="51" t="s">
        <v>18</v>
      </c>
      <c r="E14" s="64">
        <v>3</v>
      </c>
      <c r="F14" s="30">
        <v>2</v>
      </c>
      <c r="G14" s="28"/>
      <c r="H14" s="28"/>
      <c r="I14" s="28"/>
      <c r="J14" s="28"/>
      <c r="K14" s="28"/>
      <c r="L14" s="28"/>
      <c r="M14" s="30"/>
      <c r="N14" s="28"/>
      <c r="O14" s="28"/>
      <c r="P14" s="28"/>
      <c r="Q14" s="28"/>
      <c r="R14" s="28"/>
      <c r="S14" s="28"/>
    </row>
    <row r="15" spans="1:19" s="31" customFormat="1" ht="84" customHeight="1" x14ac:dyDescent="0.2">
      <c r="A15" s="27" t="s">
        <v>24</v>
      </c>
      <c r="B15" s="28" t="s">
        <v>25</v>
      </c>
      <c r="C15" s="77" t="s">
        <v>26</v>
      </c>
      <c r="D15" s="51" t="s">
        <v>18</v>
      </c>
      <c r="E15" s="64">
        <v>4</v>
      </c>
      <c r="F15" s="30"/>
      <c r="G15" s="28"/>
      <c r="H15" s="28"/>
      <c r="I15" s="28"/>
      <c r="J15" s="28"/>
      <c r="K15" s="28"/>
      <c r="L15" s="28"/>
      <c r="M15" s="30"/>
      <c r="N15" s="28"/>
      <c r="O15" s="28"/>
      <c r="P15" s="28"/>
      <c r="Q15" s="28"/>
      <c r="R15" s="28"/>
      <c r="S15" s="28"/>
    </row>
    <row r="16" spans="1:19" s="31" customFormat="1" ht="72" customHeight="1" x14ac:dyDescent="0.2">
      <c r="A16" s="27" t="s">
        <v>27</v>
      </c>
      <c r="B16" s="28" t="s">
        <v>27</v>
      </c>
      <c r="C16" s="77" t="s">
        <v>28</v>
      </c>
      <c r="D16" s="78" t="s">
        <v>15</v>
      </c>
      <c r="E16" s="64">
        <v>3</v>
      </c>
      <c r="F16" s="30"/>
      <c r="G16" s="28"/>
      <c r="H16" s="28"/>
      <c r="I16" s="28"/>
      <c r="J16" s="28"/>
      <c r="K16" s="28"/>
      <c r="L16" s="28"/>
      <c r="M16" s="30"/>
      <c r="N16" s="28"/>
      <c r="O16" s="28"/>
      <c r="P16" s="28"/>
      <c r="Q16" s="28"/>
      <c r="R16" s="28"/>
      <c r="S16" s="28"/>
    </row>
    <row r="17" spans="1:19" s="8" customFormat="1" ht="42.75" customHeight="1" x14ac:dyDescent="0.2">
      <c r="A17" s="27" t="s">
        <v>29</v>
      </c>
      <c r="B17" s="28" t="s">
        <v>30</v>
      </c>
      <c r="C17" s="79" t="s">
        <v>31</v>
      </c>
      <c r="D17" s="80" t="s">
        <v>15</v>
      </c>
      <c r="E17" s="64">
        <v>1.5</v>
      </c>
      <c r="F17" s="30"/>
      <c r="G17" s="24"/>
      <c r="H17" s="24"/>
      <c r="I17" s="24">
        <v>1.5</v>
      </c>
      <c r="J17" s="24"/>
      <c r="K17" s="24"/>
      <c r="L17" s="24"/>
      <c r="M17" s="30"/>
      <c r="N17" s="24"/>
      <c r="O17" s="24"/>
      <c r="P17" s="24"/>
      <c r="Q17" s="24"/>
      <c r="R17" s="24"/>
      <c r="S17" s="24"/>
    </row>
    <row r="18" spans="1:19" s="8" customFormat="1" ht="30" customHeight="1" x14ac:dyDescent="0.2">
      <c r="A18" s="56" t="s">
        <v>32</v>
      </c>
      <c r="B18" s="69" t="s">
        <v>30</v>
      </c>
      <c r="C18" s="81" t="s">
        <v>33</v>
      </c>
      <c r="D18" s="81" t="s">
        <v>15</v>
      </c>
      <c r="E18" s="65">
        <v>2</v>
      </c>
      <c r="F18" s="56"/>
      <c r="G18" s="25"/>
      <c r="H18" s="25"/>
      <c r="I18" s="25">
        <v>2</v>
      </c>
      <c r="J18" s="25"/>
      <c r="K18" s="25"/>
      <c r="L18" s="25"/>
      <c r="M18" s="56"/>
      <c r="N18" s="25"/>
      <c r="O18" s="25"/>
      <c r="P18" s="25"/>
      <c r="Q18" s="25"/>
      <c r="R18" s="25"/>
      <c r="S18" s="25"/>
    </row>
    <row r="19" spans="1:19" x14ac:dyDescent="0.2">
      <c r="A19" s="2" t="s">
        <v>34</v>
      </c>
      <c r="B19" s="2" t="s">
        <v>30</v>
      </c>
      <c r="C19" s="82" t="s">
        <v>35</v>
      </c>
      <c r="D19" s="2" t="s">
        <v>15</v>
      </c>
      <c r="E19" s="2">
        <v>1</v>
      </c>
      <c r="I19" s="4">
        <v>1</v>
      </c>
      <c r="M19" s="4"/>
      <c r="N19" s="4"/>
      <c r="O19" s="4"/>
      <c r="P19" s="4"/>
      <c r="Q19" s="4"/>
      <c r="R19" s="4"/>
      <c r="S19" s="4"/>
    </row>
    <row r="20" spans="1:19" ht="25.5" x14ac:dyDescent="0.2">
      <c r="A20" s="2" t="s">
        <v>36</v>
      </c>
      <c r="B20" s="2" t="s">
        <v>37</v>
      </c>
      <c r="C20" s="83" t="s">
        <v>38</v>
      </c>
      <c r="D20" s="2" t="s">
        <v>39</v>
      </c>
      <c r="E20" s="2">
        <v>2</v>
      </c>
      <c r="F20" s="4">
        <v>0.25</v>
      </c>
      <c r="G20" s="4">
        <v>0</v>
      </c>
      <c r="H20" s="4">
        <v>0.25</v>
      </c>
      <c r="I20" s="4">
        <v>0</v>
      </c>
      <c r="J20" s="4">
        <v>0.5</v>
      </c>
      <c r="K20" s="4">
        <v>0.25</v>
      </c>
      <c r="M20" s="4"/>
      <c r="N20" s="4"/>
      <c r="O20" s="4"/>
      <c r="P20" s="4"/>
      <c r="Q20" s="4"/>
      <c r="R20" s="4"/>
      <c r="S20" s="4"/>
    </row>
    <row r="21" spans="1:19" x14ac:dyDescent="0.2">
      <c r="A21" s="2" t="s">
        <v>40</v>
      </c>
      <c r="B21" s="2" t="s">
        <v>37</v>
      </c>
      <c r="C21" s="83" t="s">
        <v>41</v>
      </c>
      <c r="D21" s="2" t="s">
        <v>39</v>
      </c>
      <c r="E21" s="2">
        <v>2</v>
      </c>
      <c r="F21" s="4">
        <v>0.25</v>
      </c>
      <c r="G21" s="4">
        <v>0</v>
      </c>
      <c r="H21" s="4">
        <v>0.25</v>
      </c>
      <c r="I21" s="4">
        <v>0</v>
      </c>
      <c r="J21" s="4">
        <v>0.5</v>
      </c>
      <c r="K21" s="4">
        <v>0.25</v>
      </c>
      <c r="M21" s="4"/>
      <c r="N21" s="4"/>
      <c r="O21" s="4"/>
      <c r="P21" s="4"/>
      <c r="Q21" s="4"/>
      <c r="R21" s="4"/>
      <c r="S21" s="4"/>
    </row>
    <row r="22" spans="1:19" ht="25.5" x14ac:dyDescent="0.2">
      <c r="A22" s="2" t="s">
        <v>42</v>
      </c>
      <c r="B22" s="2" t="s">
        <v>37</v>
      </c>
      <c r="C22" s="83" t="s">
        <v>43</v>
      </c>
      <c r="D22" s="2" t="s">
        <v>39</v>
      </c>
      <c r="E22" s="2">
        <v>2</v>
      </c>
      <c r="F22" s="4">
        <v>0.25</v>
      </c>
      <c r="G22" s="4">
        <v>0</v>
      </c>
      <c r="H22" s="4">
        <v>0.25</v>
      </c>
      <c r="I22" s="4">
        <v>0</v>
      </c>
      <c r="J22" s="4">
        <v>0.5</v>
      </c>
      <c r="K22" s="4">
        <v>0.25</v>
      </c>
      <c r="M22" s="4"/>
      <c r="N22" s="4"/>
      <c r="O22" s="4"/>
      <c r="P22" s="4"/>
      <c r="Q22" s="4"/>
      <c r="R22" s="4"/>
      <c r="S22" s="4"/>
    </row>
    <row r="23" spans="1:19" x14ac:dyDescent="0.2">
      <c r="A23" s="2" t="s">
        <v>44</v>
      </c>
      <c r="B23" s="2" t="s">
        <v>37</v>
      </c>
      <c r="C23" s="83" t="s">
        <v>45</v>
      </c>
      <c r="D23" s="2" t="s">
        <v>39</v>
      </c>
      <c r="E23" s="2">
        <v>1</v>
      </c>
      <c r="F23" s="4">
        <v>0.25</v>
      </c>
      <c r="G23" s="4">
        <v>0</v>
      </c>
      <c r="H23" s="4">
        <v>0.25</v>
      </c>
      <c r="I23" s="4">
        <v>0</v>
      </c>
      <c r="J23" s="4">
        <v>0.5</v>
      </c>
      <c r="K23" s="4">
        <v>0.25</v>
      </c>
      <c r="M23" s="4"/>
      <c r="N23" s="4"/>
      <c r="O23" s="4"/>
      <c r="P23" s="4"/>
      <c r="Q23" s="4"/>
      <c r="R23" s="4"/>
      <c r="S23" s="4"/>
    </row>
    <row r="24" spans="1:19" x14ac:dyDescent="0.2">
      <c r="A24" s="2" t="s">
        <v>46</v>
      </c>
      <c r="B24" s="2" t="s">
        <v>37</v>
      </c>
      <c r="C24" s="83" t="s">
        <v>47</v>
      </c>
      <c r="D24" s="2" t="s">
        <v>39</v>
      </c>
      <c r="E24" s="2">
        <v>2</v>
      </c>
      <c r="F24" s="4">
        <v>0.25</v>
      </c>
      <c r="G24" s="4">
        <v>0</v>
      </c>
      <c r="H24" s="4">
        <v>0.25</v>
      </c>
      <c r="I24" s="4">
        <v>0</v>
      </c>
      <c r="J24" s="4">
        <v>0.5</v>
      </c>
      <c r="K24" s="4">
        <v>0.25</v>
      </c>
      <c r="M24" s="4"/>
      <c r="N24" s="4"/>
      <c r="O24" s="4"/>
      <c r="P24" s="4"/>
      <c r="Q24" s="4"/>
      <c r="R24" s="4"/>
      <c r="S24" s="4"/>
    </row>
    <row r="25" spans="1:19" x14ac:dyDescent="0.2">
      <c r="A25" s="2" t="s">
        <v>48</v>
      </c>
      <c r="B25" s="2" t="s">
        <v>37</v>
      </c>
      <c r="C25" s="83" t="s">
        <v>49</v>
      </c>
      <c r="D25" s="2" t="s">
        <v>39</v>
      </c>
      <c r="E25" s="2">
        <v>1</v>
      </c>
      <c r="F25" s="4">
        <v>0.25</v>
      </c>
      <c r="G25" s="4">
        <v>0</v>
      </c>
      <c r="H25" s="4">
        <v>0.25</v>
      </c>
      <c r="I25" s="4">
        <v>0</v>
      </c>
      <c r="J25" s="4">
        <v>0.5</v>
      </c>
      <c r="K25" s="4">
        <v>0.25</v>
      </c>
      <c r="M25" s="4"/>
      <c r="N25" s="4"/>
      <c r="O25" s="4"/>
      <c r="P25" s="4"/>
      <c r="Q25" s="4"/>
      <c r="R25" s="4"/>
      <c r="S25" s="4"/>
    </row>
    <row r="26" spans="1:19" ht="25.5" x14ac:dyDescent="0.2">
      <c r="A26" s="2" t="s">
        <v>50</v>
      </c>
      <c r="B26" s="101" t="s">
        <v>37</v>
      </c>
      <c r="C26" s="83" t="s">
        <v>51</v>
      </c>
      <c r="D26" s="2" t="s">
        <v>39</v>
      </c>
      <c r="E26" s="2">
        <v>1</v>
      </c>
      <c r="F26" s="4">
        <v>0.25</v>
      </c>
      <c r="G26" s="4">
        <v>0</v>
      </c>
      <c r="H26" s="4">
        <v>0.25</v>
      </c>
      <c r="I26" s="4">
        <v>0</v>
      </c>
      <c r="J26" s="4">
        <v>0.5</v>
      </c>
      <c r="K26" s="4">
        <v>0.25</v>
      </c>
      <c r="M26" s="4"/>
      <c r="N26" s="4"/>
      <c r="O26" s="4"/>
      <c r="P26" s="4"/>
      <c r="Q26" s="4"/>
      <c r="R26" s="4"/>
      <c r="S26" s="4"/>
    </row>
    <row r="27" spans="1:19" x14ac:dyDescent="0.2">
      <c r="A27" s="2" t="s">
        <v>52</v>
      </c>
      <c r="B27" s="2" t="s">
        <v>37</v>
      </c>
      <c r="C27" s="83" t="s">
        <v>53</v>
      </c>
      <c r="D27" s="2" t="s">
        <v>39</v>
      </c>
      <c r="E27" s="2">
        <v>2</v>
      </c>
      <c r="F27" s="4">
        <v>0.25</v>
      </c>
      <c r="G27" s="4">
        <v>0</v>
      </c>
      <c r="H27" s="4">
        <v>0.25</v>
      </c>
      <c r="I27" s="4">
        <v>0</v>
      </c>
      <c r="J27" s="4">
        <v>0.5</v>
      </c>
      <c r="K27" s="4">
        <v>0.25</v>
      </c>
      <c r="M27" s="4"/>
      <c r="N27" s="4"/>
      <c r="O27" s="4"/>
      <c r="P27" s="4"/>
      <c r="Q27" s="4"/>
      <c r="R27" s="4"/>
      <c r="S27" s="4"/>
    </row>
    <row r="28" spans="1:19" x14ac:dyDescent="0.2">
      <c r="A28" s="2" t="s">
        <v>54</v>
      </c>
      <c r="B28" s="2" t="s">
        <v>22</v>
      </c>
      <c r="C28" s="83" t="s">
        <v>55</v>
      </c>
      <c r="D28" s="2" t="s">
        <v>39</v>
      </c>
      <c r="E28" s="2">
        <v>1</v>
      </c>
      <c r="F28" s="4">
        <v>0.25</v>
      </c>
      <c r="G28" s="4">
        <v>0</v>
      </c>
      <c r="H28" s="4">
        <v>0.5</v>
      </c>
      <c r="I28" s="4">
        <v>0</v>
      </c>
      <c r="J28" s="4">
        <v>0.5</v>
      </c>
      <c r="K28" s="4">
        <v>0.25</v>
      </c>
      <c r="M28" s="4"/>
      <c r="N28" s="4"/>
      <c r="O28" s="4"/>
      <c r="P28" s="4"/>
      <c r="Q28" s="4"/>
      <c r="R28" s="4"/>
      <c r="S28" s="4"/>
    </row>
    <row r="29" spans="1:19" ht="25.5" x14ac:dyDescent="0.2">
      <c r="A29" s="2" t="s">
        <v>56</v>
      </c>
      <c r="B29" s="2" t="s">
        <v>22</v>
      </c>
      <c r="C29" s="83" t="s">
        <v>57</v>
      </c>
      <c r="D29" s="2" t="s">
        <v>39</v>
      </c>
      <c r="E29" s="2">
        <v>1</v>
      </c>
      <c r="F29" s="4">
        <v>0.25</v>
      </c>
      <c r="G29" s="4">
        <v>0</v>
      </c>
      <c r="H29" s="4">
        <v>0.5</v>
      </c>
      <c r="I29" s="4">
        <v>0</v>
      </c>
      <c r="J29" s="4">
        <v>0.5</v>
      </c>
      <c r="K29" s="4">
        <v>0.25</v>
      </c>
      <c r="M29" s="4"/>
      <c r="N29" s="4"/>
      <c r="O29" s="4"/>
      <c r="P29" s="4"/>
      <c r="Q29" s="4"/>
      <c r="R29" s="4"/>
      <c r="S29" s="4"/>
    </row>
    <row r="30" spans="1:19" ht="25.5" x14ac:dyDescent="0.2">
      <c r="A30" s="2" t="s">
        <v>58</v>
      </c>
      <c r="B30" s="2" t="s">
        <v>37</v>
      </c>
      <c r="C30" s="83" t="s">
        <v>59</v>
      </c>
      <c r="D30" s="2" t="s">
        <v>39</v>
      </c>
      <c r="E30" s="2">
        <v>2</v>
      </c>
      <c r="F30" s="4">
        <v>1</v>
      </c>
      <c r="G30" s="4">
        <v>0</v>
      </c>
      <c r="H30" s="4">
        <v>0.5</v>
      </c>
      <c r="I30" s="4">
        <v>0</v>
      </c>
      <c r="J30" s="4">
        <v>2</v>
      </c>
      <c r="K30" s="4">
        <v>1</v>
      </c>
      <c r="M30" s="4"/>
      <c r="N30" s="4"/>
      <c r="O30" s="4"/>
      <c r="P30" s="4"/>
      <c r="Q30" s="4"/>
      <c r="R30" s="4"/>
      <c r="S30" s="4"/>
    </row>
    <row r="31" spans="1:19" x14ac:dyDescent="0.2">
      <c r="A31" s="2"/>
      <c r="B31" s="2"/>
      <c r="M31" s="4"/>
      <c r="N31" s="4"/>
      <c r="O31" s="4"/>
      <c r="P31" s="4"/>
      <c r="Q31" s="4"/>
      <c r="R31" s="4"/>
      <c r="S31" s="4"/>
    </row>
    <row r="32" spans="1:19" x14ac:dyDescent="0.2">
      <c r="A32" s="2"/>
      <c r="B32" s="2"/>
      <c r="M32" s="4"/>
      <c r="N32" s="4"/>
      <c r="O32" s="4"/>
      <c r="P32" s="4"/>
      <c r="Q32" s="4"/>
      <c r="R32" s="4"/>
      <c r="S32" s="4"/>
    </row>
    <row r="33" spans="1:19" x14ac:dyDescent="0.2">
      <c r="A33" s="2"/>
      <c r="B33" s="2"/>
      <c r="M33" s="4"/>
      <c r="N33" s="4"/>
      <c r="O33" s="4"/>
      <c r="P33" s="4"/>
      <c r="Q33" s="4"/>
      <c r="R33" s="4"/>
      <c r="S33" s="4"/>
    </row>
    <row r="34" spans="1:19" x14ac:dyDescent="0.2">
      <c r="A34" s="2"/>
      <c r="B34" s="2"/>
      <c r="M34" s="4"/>
      <c r="N34" s="4"/>
      <c r="O34" s="4"/>
      <c r="P34" s="4"/>
      <c r="Q34" s="4"/>
      <c r="R34" s="4"/>
      <c r="S34" s="4"/>
    </row>
    <row r="35" spans="1:19" x14ac:dyDescent="0.2">
      <c r="C35" s="12" t="s">
        <v>60</v>
      </c>
      <c r="D35" s="52"/>
      <c r="E35" s="88">
        <f>8*2*E7</f>
        <v>80</v>
      </c>
      <c r="F35" s="9">
        <f>IF(SUM(F11:F34)&gt;0,$E$35-SUM($F$11:F34),NA())</f>
        <v>72</v>
      </c>
      <c r="G35" s="9">
        <f>IF(SUM(G11:G34)&gt;0,$E$35-SUM($F$11:G34),NA())</f>
        <v>64</v>
      </c>
      <c r="H35" s="9">
        <f>IF(SUM(H11:H34)&gt;0,$E$35-SUM($F$11:H34),NA())</f>
        <v>60.5</v>
      </c>
      <c r="I35" s="9">
        <f>IF(SUM(I11:I34)&gt;0,$E$35-SUM($F$11:I34),NA())</f>
        <v>56</v>
      </c>
      <c r="J35" s="9">
        <f>IF(SUM(J11:J34)&gt;0,$E$35-SUM($F$11:J34),NA())</f>
        <v>49</v>
      </c>
      <c r="K35" s="9">
        <f>IF(SUM(K11:K34)&gt;0,$E$35-SUM($F$11:K34),NA())</f>
        <v>45.5</v>
      </c>
      <c r="L35" s="9" t="e">
        <f>IF(SUM(L11:L34)&gt;0,$E$35-SUM($F$11:L34),NA())</f>
        <v>#N/A</v>
      </c>
      <c r="M35" s="9" t="e">
        <f>IF(SUM(M11:M34)&gt;0,$E$35-SUM($F$11:M34),NA())</f>
        <v>#N/A</v>
      </c>
      <c r="N35" s="9" t="e">
        <f>IF(SUM(N11:N34)&gt;0,$E$35-SUM($F$11:N34),NA())</f>
        <v>#N/A</v>
      </c>
      <c r="O35" s="9" t="e">
        <f>IF(SUM(O11:O34)&gt;0,$E$35-SUM($F$11:O34),NA())</f>
        <v>#N/A</v>
      </c>
      <c r="P35" s="9" t="e">
        <f>IF(SUM(P11:P34)&gt;0,$E$35-SUM($F$11:P34),NA())</f>
        <v>#N/A</v>
      </c>
      <c r="Q35" s="9" t="e">
        <f>IF(SUM(Q11:Q34)&gt;0,$E$35-SUM($F$11:Q34),NA())</f>
        <v>#N/A</v>
      </c>
      <c r="R35" s="9" t="e">
        <f>IF(SUM(R11:R34)&gt;0,$E$35-SUM($F$11:R34),NA())</f>
        <v>#N/A</v>
      </c>
      <c r="S35" s="9" t="e">
        <f>IF(SUM(S11:S34)&gt;0,$E$35-SUM($F$11:S34),NA())</f>
        <v>#N/A</v>
      </c>
    </row>
    <row r="36" spans="1:19" x14ac:dyDescent="0.2">
      <c r="C36" s="12" t="s">
        <v>61</v>
      </c>
      <c r="D36" s="53"/>
      <c r="E36" s="89"/>
      <c r="F36" s="10">
        <f>$E$35-($E$35/14)</f>
        <v>74.285714285714292</v>
      </c>
      <c r="G36" s="10">
        <f t="shared" ref="G36:S36" si="1">F36-($E$35/14)</f>
        <v>68.571428571428584</v>
      </c>
      <c r="H36" s="10">
        <f t="shared" si="1"/>
        <v>62.857142857142868</v>
      </c>
      <c r="I36" s="10">
        <f t="shared" si="1"/>
        <v>57.142857142857153</v>
      </c>
      <c r="J36" s="10">
        <f t="shared" si="1"/>
        <v>51.428571428571438</v>
      </c>
      <c r="K36" s="10">
        <f t="shared" si="1"/>
        <v>45.714285714285722</v>
      </c>
      <c r="L36" s="10">
        <f t="shared" si="1"/>
        <v>40.000000000000007</v>
      </c>
      <c r="M36" s="10">
        <f t="shared" si="1"/>
        <v>34.285714285714292</v>
      </c>
      <c r="N36" s="10">
        <f t="shared" si="1"/>
        <v>28.571428571428577</v>
      </c>
      <c r="O36" s="10">
        <f t="shared" si="1"/>
        <v>22.857142857142861</v>
      </c>
      <c r="P36" s="10">
        <f t="shared" si="1"/>
        <v>17.142857142857146</v>
      </c>
      <c r="Q36" s="10">
        <f t="shared" si="1"/>
        <v>11.428571428571431</v>
      </c>
      <c r="R36" s="10">
        <f t="shared" si="1"/>
        <v>5.7142857142857162</v>
      </c>
      <c r="S36" s="10">
        <f t="shared" si="1"/>
        <v>0</v>
      </c>
    </row>
    <row r="37" spans="1:19" x14ac:dyDescent="0.2">
      <c r="M37" s="4"/>
      <c r="N37" s="4"/>
      <c r="O37" s="4"/>
      <c r="P37" s="4"/>
      <c r="Q37" s="4"/>
      <c r="R37" s="4"/>
      <c r="S37" s="4"/>
    </row>
    <row r="38" spans="1:19" x14ac:dyDescent="0.2">
      <c r="M38" s="4"/>
      <c r="N38" s="4"/>
      <c r="O38" s="4"/>
      <c r="P38" s="4"/>
      <c r="Q38" s="4"/>
      <c r="R38" s="4"/>
      <c r="S38" s="4"/>
    </row>
    <row r="39" spans="1:19" x14ac:dyDescent="0.2">
      <c r="M39" s="4"/>
      <c r="N39" s="4"/>
      <c r="O39" s="4"/>
      <c r="P39" s="4"/>
      <c r="Q39" s="4"/>
      <c r="R39" s="4"/>
      <c r="S39" s="4"/>
    </row>
    <row r="40" spans="1:19" x14ac:dyDescent="0.2">
      <c r="M40" s="4"/>
      <c r="N40" s="4"/>
      <c r="O40" s="4"/>
      <c r="P40" s="4"/>
      <c r="Q40" s="4"/>
      <c r="R40" s="4"/>
      <c r="S40" s="4"/>
    </row>
    <row r="41" spans="1:19" x14ac:dyDescent="0.2">
      <c r="K41" s="7">
        <v>0</v>
      </c>
      <c r="L41" s="4">
        <f>SUM(E11:E19)</f>
        <v>24.5</v>
      </c>
      <c r="M41" s="4"/>
      <c r="N41" s="4"/>
      <c r="O41" s="4"/>
      <c r="P41" s="4"/>
      <c r="Q41" s="4"/>
      <c r="R41" s="7">
        <v>0</v>
      </c>
      <c r="S41" s="4">
        <f>SUM(L11:L19)</f>
        <v>0</v>
      </c>
    </row>
    <row r="42" spans="1:19" x14ac:dyDescent="0.2">
      <c r="K42" s="7">
        <v>10</v>
      </c>
      <c r="L42" s="7">
        <v>0</v>
      </c>
      <c r="M42" s="4"/>
      <c r="N42" s="4"/>
      <c r="O42" s="4"/>
      <c r="P42" s="4"/>
      <c r="Q42" s="4"/>
      <c r="R42" s="7">
        <v>10</v>
      </c>
      <c r="S42" s="7">
        <v>0</v>
      </c>
    </row>
    <row r="43" spans="1:19" x14ac:dyDescent="0.2">
      <c r="M43" s="4"/>
      <c r="N43" s="4"/>
      <c r="O43" s="4"/>
      <c r="P43" s="4"/>
      <c r="Q43" s="4"/>
      <c r="R43" s="4"/>
      <c r="S43" s="4"/>
    </row>
    <row r="44" spans="1:19" x14ac:dyDescent="0.2">
      <c r="M44" s="4"/>
      <c r="N44" s="4"/>
      <c r="O44" s="4"/>
      <c r="P44" s="4"/>
      <c r="Q44" s="4"/>
      <c r="R44" s="4"/>
      <c r="S44" s="4"/>
    </row>
    <row r="45" spans="1:19" x14ac:dyDescent="0.2">
      <c r="M45" s="4"/>
      <c r="N45" s="4"/>
      <c r="O45" s="4"/>
      <c r="P45" s="4"/>
      <c r="Q45" s="4"/>
      <c r="R45" s="4"/>
      <c r="S45" s="4"/>
    </row>
    <row r="46" spans="1:19" x14ac:dyDescent="0.2">
      <c r="M46" s="4"/>
      <c r="N46" s="4"/>
      <c r="O46" s="4"/>
      <c r="P46" s="4"/>
      <c r="Q46" s="4"/>
      <c r="R46" s="4"/>
      <c r="S46" s="4"/>
    </row>
    <row r="47" spans="1:19" x14ac:dyDescent="0.2">
      <c r="M47" s="4"/>
      <c r="N47" s="4"/>
      <c r="O47" s="4"/>
      <c r="P47" s="4"/>
      <c r="Q47" s="4"/>
      <c r="R47" s="4"/>
      <c r="S47" s="4"/>
    </row>
    <row r="48" spans="1:19" x14ac:dyDescent="0.2">
      <c r="M48" s="4"/>
      <c r="N48" s="4"/>
      <c r="O48" s="4"/>
      <c r="P48" s="4"/>
      <c r="Q48" s="4"/>
      <c r="R48" s="4"/>
      <c r="S48" s="4"/>
    </row>
    <row r="49" spans="13:19" x14ac:dyDescent="0.2">
      <c r="M49" s="4"/>
      <c r="N49" s="4"/>
      <c r="O49" s="4"/>
      <c r="P49" s="4"/>
      <c r="Q49" s="4"/>
      <c r="R49" s="4"/>
      <c r="S49" s="4"/>
    </row>
    <row r="50" spans="13:19" x14ac:dyDescent="0.2">
      <c r="M50" s="4"/>
      <c r="N50" s="4"/>
      <c r="O50" s="4"/>
      <c r="P50" s="4"/>
      <c r="Q50" s="4"/>
      <c r="R50" s="4"/>
      <c r="S50" s="4"/>
    </row>
    <row r="51" spans="13:19" x14ac:dyDescent="0.2">
      <c r="M51" s="4"/>
      <c r="N51" s="4"/>
      <c r="O51" s="4"/>
      <c r="P51" s="4"/>
      <c r="Q51" s="4"/>
      <c r="R51" s="4"/>
      <c r="S51" s="4"/>
    </row>
    <row r="52" spans="13:19" x14ac:dyDescent="0.2">
      <c r="M52" s="4"/>
      <c r="N52" s="4"/>
      <c r="O52" s="4"/>
      <c r="P52" s="4"/>
      <c r="Q52" s="4"/>
      <c r="R52" s="4"/>
      <c r="S52" s="4"/>
    </row>
    <row r="53" spans="13:19" x14ac:dyDescent="0.2">
      <c r="M53" s="4"/>
      <c r="N53" s="4"/>
      <c r="O53" s="4"/>
      <c r="P53" s="4"/>
      <c r="Q53" s="4"/>
      <c r="R53" s="4"/>
      <c r="S53" s="4"/>
    </row>
    <row r="54" spans="13:19" x14ac:dyDescent="0.2">
      <c r="M54" s="4"/>
      <c r="N54" s="4"/>
      <c r="O54" s="4"/>
      <c r="P54" s="4"/>
      <c r="Q54" s="4"/>
      <c r="R54" s="4"/>
      <c r="S54" s="4"/>
    </row>
    <row r="55" spans="13:19" x14ac:dyDescent="0.2">
      <c r="M55" s="4"/>
      <c r="N55" s="4"/>
      <c r="O55" s="4"/>
      <c r="P55" s="4"/>
      <c r="Q55" s="4"/>
      <c r="R55" s="4"/>
      <c r="S55" s="4"/>
    </row>
    <row r="56" spans="13:19" x14ac:dyDescent="0.2">
      <c r="M56" s="4"/>
      <c r="N56" s="4"/>
      <c r="O56" s="4"/>
      <c r="P56" s="4"/>
      <c r="Q56" s="4"/>
      <c r="R56" s="4"/>
      <c r="S56" s="4"/>
    </row>
    <row r="57" spans="13:19" x14ac:dyDescent="0.2">
      <c r="M57" s="4"/>
      <c r="N57" s="4"/>
      <c r="O57" s="4"/>
      <c r="P57" s="4"/>
      <c r="Q57" s="4"/>
      <c r="R57" s="4"/>
      <c r="S57" s="4"/>
    </row>
    <row r="58" spans="13:19" x14ac:dyDescent="0.2">
      <c r="M58" s="4"/>
      <c r="N58" s="4"/>
      <c r="O58" s="4"/>
      <c r="P58" s="4"/>
      <c r="Q58" s="4"/>
      <c r="R58" s="4"/>
      <c r="S58" s="4"/>
    </row>
    <row r="59" spans="13:19" x14ac:dyDescent="0.2">
      <c r="M59" s="4"/>
      <c r="N59" s="4"/>
      <c r="O59" s="4"/>
      <c r="P59" s="4"/>
      <c r="Q59" s="4"/>
      <c r="R59" s="4"/>
      <c r="S59" s="4"/>
    </row>
  </sheetData>
  <autoFilter ref="A10:E10" xr:uid="{00000000-0009-0000-0000-000003000000}"/>
  <mergeCells count="5">
    <mergeCell ref="A2:L2"/>
    <mergeCell ref="E35:E36"/>
    <mergeCell ref="F8:L8"/>
    <mergeCell ref="M8:S8"/>
    <mergeCell ref="E4:J4"/>
  </mergeCells>
  <conditionalFormatting sqref="F20:S20">
    <cfRule type="cellIs" dxfId="1" priority="1" stopIfTrue="1" operator="lessThan">
      <formula>F21</formula>
    </cfRule>
    <cfRule type="cellIs" dxfId="0" priority="2" stopIfTrue="1" operator="greaterThan">
      <formula>F21</formula>
    </cfRule>
  </conditionalFormatting>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Introduction</vt:lpstr>
      <vt:lpstr>Product backlog</vt:lpstr>
      <vt:lpstr>Sprint 1</vt:lpstr>
      <vt:lpstr>Sprint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Olivier Gérardin</dc:creator>
  <cp:lastModifiedBy>Garrett.Lassalle</cp:lastModifiedBy>
  <dcterms:created xsi:type="dcterms:W3CDTF">2009-04-30T08:53:36Z</dcterms:created>
  <dcterms:modified xsi:type="dcterms:W3CDTF">2026-05-24T21:35:30Z</dcterms:modified>
</cp:coreProperties>
</file>