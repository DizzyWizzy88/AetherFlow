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1" activeTab="2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Product backlog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Sprint 2" sheetId="4" state="visible" r:id="rId4"/>
  </sheets>
  <definedNames>
    <definedName name="Z_988818D5_2AEF_4A9A_A55E_18240173EC63_.wvu.FilterData" localSheetId="1" hidden="1">'Product backlog'!$A$10:$F$10</definedName>
    <definedName name="Z_AF9CDD9E_3CB3_EE48_8887_F1090B6AE042_.wvu.FilterData" localSheetId="1" hidden="1">'Product backlog'!$A$10:$F$10</definedName>
    <definedName name="Z_F117AA09_D9DE_4D2E_A2DF_77AB3D7617C3_.wvu.FilterData" localSheetId="1" hidden="1">'Product backlog'!$A$10:$F$10</definedName>
    <definedName name="_xlnm._FilterDatabase" localSheetId="1" hidden="1">'Product backlog'!$B$1:$F$1</definedName>
    <definedName name="Z_988818D5_2AEF_4A9A_A55E_18240173EC63_.wvu.FilterData" localSheetId="2" hidden="1">'Sprint 1'!$A$10:$E$10</definedName>
    <definedName name="Z_AF9CDD9E_3CB3_EE48_8887_F1090B6AE042_.wvu.FilterData" localSheetId="2" hidden="1">'Sprint 1'!$A$10:$E$10</definedName>
    <definedName name="Z_F117AA09_D9DE_4D2E_A2DF_77AB3D7617C3_.wvu.FilterData" localSheetId="2" hidden="1">'Sprint 1'!$A$10:$E$10</definedName>
    <definedName name="_xlnm._FilterDatabase" localSheetId="2" hidden="1">'Sprint 1'!$A$10:$E$10</definedName>
    <definedName name="Z_988818D5_2AEF_4A9A_A55E_18240173EC63_.wvu.FilterData" localSheetId="3" hidden="1">'Sprint 2'!$A$10:$E$10</definedName>
    <definedName name="Z_AF9CDD9E_3CB3_EE48_8887_F1090B6AE042_.wvu.FilterData" localSheetId="3" hidden="1">'Sprint 2'!$A$10:$E$10</definedName>
    <definedName name="Z_F117AA09_D9DE_4D2E_A2DF_77AB3D7617C3_.wvu.FilterData" localSheetId="3" hidden="1">'Sprint 2'!$A$10:$E$10</definedName>
    <definedName name="_xlnm._FilterDatabase" localSheetId="3" hidden="1">'Sprint 2'!$A$10:$E$10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ddd\ dd/mm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"/>
      <family val="2"/>
      <color indexed="12"/>
      <sz val="10"/>
      <u val="single"/>
    </font>
    <font>
      <name val="Arial"/>
      <family val="2"/>
      <sz val="10"/>
    </font>
    <font>
      <name val="Arial"/>
      <family val="2"/>
      <i val="1"/>
      <sz val="10"/>
    </font>
    <font>
      <name val="Arial"/>
      <family val="2"/>
      <color indexed="9"/>
      <sz val="14"/>
    </font>
    <font>
      <name val="Times New Roman"/>
      <family val="1"/>
      <sz val="12"/>
    </font>
    <font>
      <name val="Times New Roman"/>
      <family val="1"/>
      <color indexed="9"/>
      <sz val="12"/>
    </font>
    <font>
      <name val="Times New Roman"/>
      <family val="1"/>
      <b val="1"/>
      <sz val="12"/>
    </font>
    <font>
      <name val="Times New Roman"/>
      <family val="1"/>
      <i val="1"/>
      <sz val="12"/>
    </font>
    <font>
      <name val="Times New Roman"/>
      <family val="1"/>
      <b val="1"/>
      <i val="1"/>
      <sz val="12"/>
    </font>
    <font>
      <name val="Calibri"/>
      <family val="2"/>
      <sz val="10"/>
      <scheme val="minor"/>
    </font>
    <font>
      <name val="Calibri"/>
      <family val="2"/>
      <b val="1"/>
      <i val="1"/>
      <sz val="10"/>
      <scheme val="minor"/>
    </font>
    <font>
      <name val="Calibri"/>
      <family val="2"/>
      <color indexed="12"/>
      <sz val="10"/>
      <u val="single"/>
      <scheme val="minor"/>
    </font>
    <font>
      <name val="Calibri"/>
      <family val="2"/>
      <b val="1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9"/>
      <sz val="14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9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applyProtection="1" pivotButton="0" quotePrefix="0" xfId="0">
      <alignment horizontal="center" vertical="top"/>
      <protection locked="1" hidden="1"/>
    </xf>
    <xf numFmtId="0" fontId="0" fillId="0" borderId="0" applyAlignment="1" applyProtection="1" pivotButton="0" quotePrefix="0" xfId="0">
      <alignment vertical="top"/>
      <protection locked="0" hidden="0"/>
    </xf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center" vertical="top" wrapText="1"/>
    </xf>
    <xf numFmtId="0" fontId="1" fillId="2" borderId="3" applyAlignment="1" pivotButton="0" quotePrefix="0" xfId="0">
      <alignment vertical="top" wrapText="1"/>
    </xf>
    <xf numFmtId="0" fontId="1" fillId="2" borderId="3" applyAlignment="1" pivotButton="0" quotePrefix="0" xfId="0">
      <alignment horizontal="center" vertical="top" wrapText="1"/>
    </xf>
    <xf numFmtId="0" fontId="1" fillId="2" borderId="4" applyAlignment="1" pivotButton="0" quotePrefix="0" xfId="0">
      <alignment horizontal="center" vertical="top" wrapText="1"/>
    </xf>
    <xf numFmtId="165" fontId="1" fillId="2" borderId="3" applyAlignment="1" pivotButton="0" quotePrefix="0" xfId="0">
      <alignment horizontal="center" vertical="top" wrapText="1"/>
    </xf>
    <xf numFmtId="0" fontId="0" fillId="3" borderId="1" applyAlignment="1" applyProtection="1" pivotButton="0" quotePrefix="0" xfId="0">
      <alignment horizontal="center" vertical="top"/>
      <protection locked="0" hidden="0"/>
    </xf>
    <xf numFmtId="14" fontId="0" fillId="3" borderId="1" applyAlignment="1" applyProtection="1" pivotButton="0" quotePrefix="0" xfId="0">
      <alignment horizontal="center" vertical="top"/>
      <protection locked="0" hidden="0"/>
    </xf>
    <xf numFmtId="0" fontId="0" fillId="3" borderId="5" applyAlignment="1" applyProtection="1" pivotButton="0" quotePrefix="0" xfId="0">
      <alignment horizontal="center" vertical="top"/>
      <protection locked="0" hidden="0"/>
    </xf>
    <xf numFmtId="0" fontId="0" fillId="3" borderId="6" applyAlignment="1" applyProtection="1" pivotButton="0" quotePrefix="0" xfId="0">
      <alignment horizontal="center" vertical="top"/>
      <protection locked="0" hidden="0"/>
    </xf>
    <xf numFmtId="165" fontId="1" fillId="2" borderId="7" applyAlignment="1" pivotButton="0" quotePrefix="0" xfId="0">
      <alignment horizontal="center" vertical="top" wrapText="1"/>
    </xf>
    <xf numFmtId="0" fontId="4" fillId="3" borderId="9" applyAlignment="1" applyProtection="1" pivotButton="0" quotePrefix="0" xfId="0">
      <alignment horizontal="center" vertical="top"/>
      <protection locked="0" hidden="0"/>
    </xf>
    <xf numFmtId="0" fontId="4" fillId="3" borderId="1" applyAlignment="1" applyProtection="1" pivotButton="0" quotePrefix="0" xfId="0">
      <alignment horizontal="center" vertical="top"/>
      <protection locked="0" hidden="0"/>
    </xf>
    <xf numFmtId="0" fontId="4" fillId="3" borderId="1" applyAlignment="1" applyProtection="1" pivotButton="0" quotePrefix="0" xfId="0">
      <alignment vertical="top" wrapText="1"/>
      <protection locked="0" hidden="0"/>
    </xf>
    <xf numFmtId="0" fontId="4" fillId="3" borderId="10" applyAlignment="1" applyProtection="1" pivotButton="0" quotePrefix="0" xfId="0">
      <alignment horizontal="center" vertical="top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1" fillId="2" borderId="1" applyAlignment="1" pivotButton="0" quotePrefix="0" xfId="0">
      <alignment horizontal="center"/>
    </xf>
    <xf numFmtId="0" fontId="12" fillId="0" borderId="0" applyAlignment="1" pivotButton="0" quotePrefix="0" xfId="0">
      <alignment horizontal="center" wrapText="1"/>
    </xf>
    <xf numFmtId="0" fontId="13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4" fillId="0" borderId="0" applyAlignment="1" pivotButton="0" quotePrefix="0" xfId="1">
      <alignment wrapText="1"/>
    </xf>
    <xf numFmtId="0" fontId="12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wrapText="1"/>
    </xf>
    <xf numFmtId="0" fontId="12" fillId="3" borderId="0" applyAlignment="1" pivotButton="0" quotePrefix="0" xfId="0">
      <alignment wrapText="1"/>
    </xf>
    <xf numFmtId="0" fontId="1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1" fillId="5" borderId="14" applyAlignment="1" pivotButton="0" quotePrefix="0" xfId="0">
      <alignment horizontal="center" vertical="center"/>
    </xf>
    <xf numFmtId="0" fontId="11" fillId="5" borderId="13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1" fillId="2" borderId="11" applyAlignment="1" pivotButton="0" quotePrefix="0" xfId="0">
      <alignment horizontal="center"/>
    </xf>
    <xf numFmtId="0" fontId="1" fillId="2" borderId="16" applyAlignment="1" pivotButton="0" quotePrefix="0" xfId="0">
      <alignment vertical="top" wrapText="1"/>
    </xf>
    <xf numFmtId="0" fontId="4" fillId="3" borderId="11" applyAlignment="1" applyProtection="1" pivotButton="0" quotePrefix="0" xfId="0">
      <alignment vertical="top" wrapText="1"/>
      <protection locked="0" hidden="0"/>
    </xf>
    <xf numFmtId="0" fontId="1" fillId="2" borderId="5" applyAlignment="1" pivotButton="0" quotePrefix="0" xfId="0">
      <alignment vertical="top" wrapText="1"/>
    </xf>
    <xf numFmtId="0" fontId="1" fillId="2" borderId="13" applyAlignment="1" pivotButton="0" quotePrefix="0" xfId="0">
      <alignment vertical="top" wrapText="1"/>
    </xf>
    <xf numFmtId="0" fontId="1" fillId="2" borderId="17" applyAlignment="1" pivotButton="0" quotePrefix="0" xfId="0">
      <alignment horizontal="center" vertical="top"/>
    </xf>
    <xf numFmtId="0" fontId="1" fillId="2" borderId="18" applyAlignment="1" pivotButton="0" quotePrefix="0" xfId="0">
      <alignment horizontal="center" vertical="top"/>
    </xf>
    <xf numFmtId="0" fontId="4" fillId="3" borderId="21" applyAlignment="1" applyProtection="1" pivotButton="0" quotePrefix="0" xfId="0">
      <alignment horizontal="center" vertical="top"/>
      <protection locked="0" hidden="0"/>
    </xf>
    <xf numFmtId="0" fontId="10" fillId="0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top" wrapText="1"/>
    </xf>
    <xf numFmtId="0" fontId="4" fillId="3" borderId="5" applyAlignment="1" applyProtection="1" pivotButton="0" quotePrefix="0" xfId="0">
      <alignment vertical="top" wrapText="1"/>
      <protection locked="0" hidden="0"/>
    </xf>
    <xf numFmtId="0" fontId="4" fillId="3" borderId="6" applyAlignment="1" applyProtection="1" pivotButton="0" quotePrefix="0" xfId="0">
      <alignment vertical="top" wrapText="1"/>
      <protection locked="0" hidden="0"/>
    </xf>
    <xf numFmtId="0" fontId="4" fillId="3" borderId="15" applyAlignment="1" applyProtection="1" pivotButton="0" quotePrefix="0" xfId="0">
      <alignment vertical="top" wrapText="1"/>
      <protection locked="0" hidden="0"/>
    </xf>
    <xf numFmtId="0" fontId="4" fillId="3" borderId="8" applyAlignment="1" applyProtection="1" pivotButton="0" quotePrefix="0" xfId="0">
      <alignment horizontal="center" vertical="top"/>
      <protection locked="0" hidden="0"/>
    </xf>
    <xf numFmtId="0" fontId="4" fillId="3" borderId="22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top" wrapText="1"/>
    </xf>
    <xf numFmtId="0" fontId="10" fillId="3" borderId="15" applyAlignment="1" pivotButton="0" quotePrefix="0" xfId="0">
      <alignment horizontal="center" vertical="center"/>
    </xf>
    <xf numFmtId="0" fontId="4" fillId="3" borderId="6" applyAlignment="1" applyProtection="1" pivotButton="0" quotePrefix="0" xfId="0">
      <alignment horizontal="center" vertical="top"/>
      <protection locked="0" hidden="0"/>
    </xf>
    <xf numFmtId="0" fontId="8" fillId="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/>
    </xf>
    <xf numFmtId="0" fontId="17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6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1" fillId="2" borderId="23" applyAlignment="1" pivotButton="0" quotePrefix="0" xfId="0">
      <alignment horizontal="center" vertical="top"/>
    </xf>
    <xf numFmtId="0" fontId="5" fillId="3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0" fillId="0" borderId="12" pivotButton="0" quotePrefix="0" xfId="0"/>
    <xf numFmtId="0" fontId="0" fillId="0" borderId="1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3" pivotButton="0" quotePrefix="0" xfId="0"/>
    <xf numFmtId="0" fontId="18" fillId="2" borderId="2" applyAlignment="1" pivotButton="0" quotePrefix="0" xfId="0">
      <alignment horizontal="center" vertical="top" wrapText="1"/>
    </xf>
    <xf numFmtId="0" fontId="18" fillId="2" borderId="3" applyAlignment="1" pivotButton="0" quotePrefix="0" xfId="0">
      <alignment horizontal="center" vertical="top" wrapText="1"/>
    </xf>
    <xf numFmtId="0" fontId="18" fillId="2" borderId="3" applyAlignment="1" pivotButton="0" quotePrefix="0" xfId="0">
      <alignment vertical="top" wrapText="1"/>
    </xf>
    <xf numFmtId="0" fontId="18" fillId="2" borderId="16" applyAlignment="1" pivotButton="0" quotePrefix="0" xfId="0">
      <alignment vertical="top" wrapText="1"/>
    </xf>
    <xf numFmtId="0" fontId="18" fillId="2" borderId="4" applyAlignment="1" pivotButton="0" quotePrefix="0" xfId="0">
      <alignment horizontal="center" vertical="top" wrapText="1"/>
    </xf>
    <xf numFmtId="165" fontId="18" fillId="2" borderId="7" applyAlignment="1" pivotButton="0" quotePrefix="0" xfId="0">
      <alignment horizontal="center" vertical="top" wrapText="1"/>
    </xf>
    <xf numFmtId="165" fontId="18" fillId="2" borderId="3" applyAlignment="1" pivotButton="0" quotePrefix="0" xfId="0">
      <alignment horizontal="center" vertical="top" wrapText="1"/>
    </xf>
  </cellXfs>
  <cellStyles count="2">
    <cellStyle name="Normal" xfId="0" builtinId="0"/>
    <cellStyle name="Hyperlink" xfId="1" builtinId="8"/>
  </cellStyles>
  <dxfs count="13">
    <dxf>
      <font>
        <condense val="0"/>
        <color indexed="10"/>
        <extend val="0"/>
      </font>
    </dxf>
    <dxf>
      <font>
        <condense val="0"/>
        <color indexed="57"/>
        <extend val="0"/>
      </font>
    </dxf>
    <dxf>
      <font>
        <name val="Times New Roman"/>
        <i val="1"/>
        <sz val="12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i val="1"/>
        <strike val="0"/>
        <outline val="0"/>
        <shadow val="0"/>
        <condense val="0"/>
        <color auto="1"/>
        <extend val="0"/>
        <sz val="12"/>
        <vertAlign val="baseline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i val="1"/>
        <strike val="0"/>
        <outline val="0"/>
        <shadow val="0"/>
        <condense val="0"/>
        <color auto="1"/>
        <extend val="0"/>
        <sz val="12"/>
        <vertAlign val="baseline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i val="1"/>
        <strike val="0"/>
        <outline val="0"/>
        <shadow val="0"/>
        <condense val="0"/>
        <color auto="1"/>
        <extend val="0"/>
        <sz val="12"/>
        <vertAlign val="baseline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i val="1"/>
        <strike val="0"/>
        <outline val="0"/>
        <shadow val="0"/>
        <condense val="0"/>
        <color auto="1"/>
        <extend val="0"/>
        <sz val="12"/>
        <vertAlign val="baseline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i val="1"/>
        <strike val="0"/>
        <outline val="0"/>
        <shadow val="0"/>
        <condense val="0"/>
        <color auto="1"/>
        <extend val="0"/>
        <sz val="12"/>
        <vertAlign val="baseline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Times New Roman"/>
        <i val="1"/>
        <strike val="0"/>
        <outline val="0"/>
        <shadow val="0"/>
        <condense val="0"/>
        <color auto="1"/>
        <extend val="0"/>
        <sz val="12"/>
        <vertAlign val="baseline"/>
      </font>
      <fill>
        <patternFill patternType="solid">
          <fgColor indexed="64"/>
          <bgColor indexed="41"/>
        </patternFill>
      </fill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name val="Times New Roman"/>
        <i val="1"/>
        <strike val="0"/>
        <outline val="0"/>
        <shadow val="0"/>
        <condense val="0"/>
        <color auto="1"/>
        <extend val="0"/>
        <sz val="12"/>
        <vertAlign val="baseline"/>
      </font>
      <fill>
        <patternFill patternType="solid">
          <fgColor indexed="64"/>
          <bgColor indexed="41"/>
        </patternFill>
      </fill>
      <alignment horizontal="center" vertical="center"/>
    </dxf>
    <dxf>
      <font>
        <name val="Times New Roman"/>
        <b val="1"/>
        <i val="1"/>
        <strike val="0"/>
        <outline val="0"/>
        <shadow val="0"/>
        <condense val="0"/>
        <color auto="1"/>
        <extend val="0"/>
        <sz val="12"/>
        <vertAlign val="baseline"/>
      </font>
      <fill>
        <patternFill patternType="solid">
          <fgColor indexed="64"/>
          <bgColor theme="1" tint="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 xml:space="preserve">Burndown Chart </a:t>
            </a:r>
          </a:p>
        </rich>
      </tx>
      <layout>
        <manualLayout>
          <xMode val="edge"/>
          <yMode val="edge"/>
          <wMode val="factor"/>
          <hMode val="factor"/>
          <x val="0.4035326904361674"/>
          <y val="0.04289547139940841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37510465963895"/>
          <y val="0.1863308454521361"/>
          <w val="0.8804353667120671"/>
          <h val="0.6621992582827925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12700">
              <a:solidFill>
                <a:srgbClr val="000090"/>
              </a:solidFill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000090"/>
              </a:solidFill>
              <a:ln xmlns:a="http://schemas.openxmlformats.org/drawingml/2006/main">
                <a:solidFill>
                  <a:srgbClr val="000090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25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'Sprint 1'!$F$20:$S$20</f>
              <numCache>
                <formatCode>General</formatCode>
                <ptCount val="14"/>
              </numCache>
            </numRef>
          </val>
          <smooth val="1"/>
        </ser>
        <ser>
          <idx val="1"/>
          <order val="1"/>
          <spPr>
            <a:ln xmlns:a="http://schemas.openxmlformats.org/drawingml/2006/main" w="12700">
              <a:solidFill>
                <a:srgbClr val="F20884"/>
              </a:solidFill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F20884"/>
              </a:solidFill>
              <a:ln xmlns:a="http://schemas.openxmlformats.org/drawingml/2006/main">
                <a:solidFill>
                  <a:srgbClr val="F20884"/>
                </a:solidFill>
                <a:prstDash val="solid"/>
              </a:ln>
            </spPr>
          </marker>
          <val>
            <numRef>
              <f>'Sprint 1'!$F$21:$S$21</f>
              <numCache>
                <formatCode>General</formatCode>
                <ptCount val="14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28933120"/>
        <axId val="646860736"/>
      </lineChart>
      <catAx>
        <axId val="22893312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5135872482231856"/>
              <y val="0.914210168173422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646860736"/>
        <crosses val="autoZero"/>
        <auto val="0"/>
        <lblAlgn val="ctr"/>
        <lblOffset val="100"/>
        <tickLblSkip val="1"/>
        <tickMarkSkip val="1"/>
        <noMultiLvlLbl val="0"/>
      </catAx>
      <valAx>
        <axId val="646860736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45648647851603"/>
              <y val="0.281501756724853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22893312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038052752595005"/>
          <y val="0.3048127317418656"/>
          <w val="0.1358064230735203"/>
          <h val="0.1706703328750573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2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 xml:space="preserve">Burndown Chart </a:t>
            </a:r>
          </a:p>
        </rich>
      </tx>
      <layout>
        <manualLayout>
          <xMode val="edge"/>
          <yMode val="edge"/>
          <wMode val="factor"/>
          <hMode val="factor"/>
          <x val="0.4035326904361674"/>
          <y val="0.04289547139940841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037510037272738"/>
          <y val="0.168958412284026"/>
          <w val="0.8804353667120671"/>
          <h val="0.6621992582827925"/>
        </manualLayout>
      </layout>
      <lineChart>
        <grouping val="standard"/>
        <varyColors val="0"/>
        <ser>
          <idx val="0"/>
          <order val="0"/>
          <spPr>
            <a:ln xmlns:a="http://schemas.openxmlformats.org/drawingml/2006/main" w="12700">
              <a:solidFill>
                <a:srgbClr val="000090"/>
              </a:solidFill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000090"/>
              </a:solidFill>
              <a:ln xmlns:a="http://schemas.openxmlformats.org/drawingml/2006/main">
                <a:solidFill>
                  <a:srgbClr val="000090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 w="25400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125" b="0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'Sprint 2'!$F$20:$S$20</f>
              <numCache>
                <formatCode>General</formatCode>
                <ptCount val="14"/>
              </numCache>
            </numRef>
          </val>
          <smooth val="1"/>
        </ser>
        <ser>
          <idx val="1"/>
          <order val="1"/>
          <spPr>
            <a:ln xmlns:a="http://schemas.openxmlformats.org/drawingml/2006/main" w="12700">
              <a:solidFill>
                <a:srgbClr val="F20884"/>
              </a:solidFill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F20884"/>
              </a:solidFill>
              <a:ln xmlns:a="http://schemas.openxmlformats.org/drawingml/2006/main">
                <a:solidFill>
                  <a:srgbClr val="F20884"/>
                </a:solidFill>
                <a:prstDash val="solid"/>
              </a:ln>
            </spPr>
          </marker>
          <val>
            <numRef>
              <f>'Sprint 2'!$F$21:$S$21</f>
              <numCache>
                <formatCode>General</formatCode>
                <ptCount val="14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28933120"/>
        <axId val="646860736"/>
      </lineChart>
      <catAx>
        <axId val="22893312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Days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5135872482231856"/>
              <y val="0.914210168173422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646860736"/>
        <crosses val="autoZero"/>
        <auto val="0"/>
        <lblAlgn val="ctr"/>
        <lblOffset val="100"/>
        <tickLblSkip val="1"/>
        <tickMarkSkip val="1"/>
        <noMultiLvlLbl val="0"/>
      </catAx>
      <valAx>
        <axId val="646860736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25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Remaining Scrum units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45648647851603"/>
              <y val="0.2815017567248538"/>
            </manualLayout>
          </layout>
          <overlay val="0"/>
          <spPr>
            <a:noFill xmlns:a="http://schemas.openxmlformats.org/drawingml/2006/main"/>
            <a:ln xmlns:a="http://schemas.openxmlformats.org/drawingml/2006/main"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xmlns:a="http://schemas.openxmlformats.org/drawingml/2006/main" w="3175">
            <a:solidFill>
              <a:srgbClr val="000000"/>
            </a:solidFill>
            <a:prstDash val="solid"/>
          </a:ln>
        </spPr>
        <txPr>
          <a:bodyPr xmlns:a="http://schemas.openxmlformats.org/drawingml/2006/main" rot="0" vert="horz"/>
          <a:lstStyle xmlns:a="http://schemas.openxmlformats.org/drawingml/2006/main"/>
          <a:p xmlns:a="http://schemas.openxmlformats.org/drawingml/2006/main">
            <a:pPr>
              <a:defRPr sz="112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22893312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038052752595005"/>
          <y val="0.3048127317418656"/>
          <w val="0.1358064230735203"/>
          <h val="0.1706703328750573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3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1</col>
      <colOff>66675</colOff>
      <row>18</row>
      <rowOff>95250</rowOff>
    </from>
    <to>
      <col>1</col>
      <colOff>895350</colOff>
      <row>20</row>
      <rowOff>66675</rowOff>
    </to>
    <pic>
      <nvPicPr>
        <cNvPr id="2126" name="Picture 2">
          <a:hlinkClick xmlns:a="http://schemas.openxmlformats.org/drawingml/2006/main" xmlns:r="http://schemas.openxmlformats.org/officeDocument/2006/relationships" r:id=""/>
        </cNvPr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14600" y="3514725"/>
          <a:ext cx="828675" cy="2952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3</col>
      <colOff>857250</colOff>
      <row>26</row>
      <rowOff>28574</rowOff>
    </from>
    <to>
      <col>17</col>
      <colOff>685800</colOff>
      <row>44</row>
      <rowOff>38099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3</col>
      <colOff>904875</colOff>
      <row>25</row>
      <rowOff>133349</rowOff>
    </from>
    <to>
      <col>17</col>
      <colOff>504825</colOff>
      <row>44</row>
      <rowOff>38099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A10:G21" headerRowCount="1" totalsRowShown="0" headerRowDxfId="12" dataDxfId="11" headerRowBorderDxfId="9" tableBorderDxfId="10">
  <autoFilter ref="A10:G21"/>
  <sortState ref="A11:F20">
    <sortCondition ref="F10:F20"/>
  </sortState>
  <tableColumns count="7">
    <tableColumn id="1" name=" Story ID" dataDxfId="8"/>
    <tableColumn id="2" name="Title" dataDxfId="7"/>
    <tableColumn id="3" name="Description" dataDxfId="6"/>
    <tableColumn id="4" name="Acceptance Criteria" dataDxfId="5"/>
    <tableColumn id="5" name="Priority #" dataDxfId="4"/>
    <tableColumn id="6" name="Sprint #" dataDxfId="3"/>
    <tableColumn id="7" name="Responsibility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D35"/>
  <sheetViews>
    <sheetView topLeftCell="A7" workbookViewId="0">
      <selection activeCell="B33" sqref="B33"/>
    </sheetView>
  </sheetViews>
  <sheetFormatPr baseColWidth="8" defaultColWidth="11.42578125" defaultRowHeight="12.75"/>
  <cols>
    <col width="36.7109375" customWidth="1" style="16" min="1" max="1"/>
    <col width="114.85546875" customWidth="1" style="1" min="2" max="2"/>
    <col width="11.42578125" customWidth="1" style="1" min="3" max="5"/>
    <col width="11.42578125" customWidth="1" style="1" min="6" max="16384"/>
  </cols>
  <sheetData>
    <row r="2" ht="39.75" customFormat="1" customHeight="1" s="73">
      <c r="A2" s="72" t="inlineStr">
        <is>
          <t>Airline Reservation System</t>
        </is>
      </c>
      <c r="C2" s="33" t="n"/>
      <c r="D2" s="33" t="n"/>
    </row>
    <row r="3">
      <c r="A3" s="34" t="n"/>
      <c r="B3" s="33" t="n"/>
      <c r="C3" s="35" t="n"/>
      <c r="D3" s="35" t="n"/>
    </row>
    <row r="4" customFormat="1" s="15">
      <c r="A4" s="34" t="n"/>
      <c r="B4" s="36" t="n"/>
      <c r="C4" s="36" t="n"/>
      <c r="D4" s="36" t="n"/>
    </row>
    <row r="5" customFormat="1" s="15">
      <c r="A5" s="34" t="n"/>
      <c r="B5" s="36" t="n"/>
      <c r="C5" s="36" t="n"/>
      <c r="D5" s="36" t="n"/>
    </row>
    <row r="6" customFormat="1" s="14">
      <c r="A6" s="34" t="inlineStr">
        <is>
          <t>What is this?</t>
        </is>
      </c>
      <c r="B6" s="35" t="inlineStr">
        <is>
          <t>This workbook is meant to help manage and piroritize the user stories and features using scrum.</t>
        </is>
      </c>
      <c r="C6" s="35" t="n"/>
      <c r="D6" s="35" t="n"/>
    </row>
    <row r="7" customFormat="1" s="15">
      <c r="A7" s="34" t="n"/>
      <c r="B7" s="36" t="n"/>
      <c r="C7" s="36" t="n"/>
      <c r="D7" s="36" t="n"/>
    </row>
    <row r="8" customFormat="1" s="15">
      <c r="A8" s="34" t="n"/>
      <c r="B8" s="37" t="n"/>
      <c r="C8" s="36" t="n"/>
      <c r="D8" s="36" t="n"/>
    </row>
    <row r="9" customFormat="1" s="14">
      <c r="A9" s="38" t="n"/>
      <c r="B9" s="37" t="n"/>
      <c r="C9" s="35" t="n"/>
      <c r="D9" s="35" t="n"/>
    </row>
    <row r="10" customFormat="1" s="15">
      <c r="A10" s="34" t="n"/>
      <c r="B10" s="36" t="n"/>
      <c r="C10" s="36" t="n"/>
      <c r="D10" s="36" t="n"/>
    </row>
    <row r="11" customFormat="1" s="14">
      <c r="A11" s="34" t="inlineStr">
        <is>
          <t>How to use and read this document?</t>
        </is>
      </c>
      <c r="B11" s="39" t="inlineStr">
        <is>
          <t xml:space="preserve">Before project start: The product owner is responsible for managing and maintaining the product backlog of user stories. </t>
        </is>
      </c>
      <c r="C11" s="35" t="n"/>
      <c r="D11" s="35" t="n"/>
    </row>
    <row r="12">
      <c r="A12" s="34" t="n"/>
      <c r="B12" s="39" t="inlineStr">
        <is>
          <t>Before each sprint: The vendor will break down the user stories into tasks.</t>
        </is>
      </c>
      <c r="C12" s="35" t="n"/>
      <c r="D12" s="35" t="n"/>
    </row>
    <row r="13">
      <c r="A13" s="34" t="n"/>
      <c r="B13" s="39" t="n"/>
      <c r="C13" s="35" t="n"/>
      <c r="D13" s="35" t="n"/>
    </row>
    <row r="14">
      <c r="A14" s="34" t="n"/>
      <c r="B14" s="35" t="n"/>
      <c r="C14" s="35" t="n"/>
      <c r="D14" s="35" t="n"/>
    </row>
    <row r="15">
      <c r="A15" s="34" t="inlineStr">
        <is>
          <t>Notes</t>
        </is>
      </c>
      <c r="B15" s="40" t="inlineStr">
        <is>
          <t>Cells that you can edit have a blue background.</t>
        </is>
      </c>
      <c r="C15" s="35" t="n"/>
      <c r="D15" s="35" t="n"/>
    </row>
    <row r="16">
      <c r="A16" s="34" t="n"/>
      <c r="B16" s="35" t="inlineStr">
        <is>
          <t>Sprints are assumed to be 2 weeks long (10 working days)</t>
        </is>
      </c>
      <c r="C16" s="35" t="n"/>
      <c r="D16" s="35" t="n"/>
    </row>
    <row r="17" customFormat="1" s="14">
      <c r="A17" s="34" t="n"/>
      <c r="B17" s="35" t="n"/>
      <c r="C17" s="35" t="n"/>
      <c r="D17" s="35" t="n"/>
    </row>
    <row r="18" customFormat="1" s="15">
      <c r="A18" s="34" t="inlineStr">
        <is>
          <t>Licence</t>
        </is>
      </c>
      <c r="B18" s="41" t="inlineStr">
        <is>
          <t>This work is licensed under a Creative Commons Attribution-Share Alike 3.0 Unported License.</t>
        </is>
      </c>
      <c r="C18" s="36" t="n"/>
      <c r="D18" s="36" t="n"/>
    </row>
    <row r="19">
      <c r="A19" s="34" t="n"/>
      <c r="B19" s="35" t="n"/>
      <c r="C19" s="35" t="n"/>
      <c r="D19" s="35" t="n"/>
    </row>
    <row r="20">
      <c r="A20" s="34" t="n"/>
      <c r="B20" s="35" t="n"/>
      <c r="C20" s="35" t="n"/>
      <c r="D20" s="35" t="n"/>
    </row>
    <row r="21">
      <c r="A21" s="34" t="n"/>
      <c r="B21" s="35" t="n"/>
      <c r="C21" s="35" t="n"/>
      <c r="D21" s="35" t="n"/>
    </row>
    <row r="22">
      <c r="A22" s="34" t="n"/>
      <c r="B22" s="35" t="n"/>
      <c r="C22" s="35" t="n"/>
      <c r="D22" s="35" t="n"/>
    </row>
    <row r="23">
      <c r="A23" s="34" t="inlineStr">
        <is>
          <t>Origins</t>
        </is>
      </c>
      <c r="B23" s="35" t="inlineStr">
        <is>
          <t>This work is inspired by the Scrum Template published by Nicolas Martignole on his "Touilleur Express" blog. Adapted by Olivier Gérardin.</t>
        </is>
      </c>
      <c r="C23" s="35" t="n"/>
      <c r="D23" s="35" t="n"/>
    </row>
    <row r="24">
      <c r="A24" s="34" t="n"/>
      <c r="B24" s="37" t="n"/>
      <c r="C24" s="35" t="n"/>
      <c r="D24" s="35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</sheetData>
  <mergeCells count="1">
    <mergeCell ref="A2:B2"/>
  </mergeCells>
  <pageMargins left="0.75" right="0.75" top="1" bottom="1" header="0.5" footer="0.5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C24"/>
  <sheetViews>
    <sheetView topLeftCell="C5" zoomScaleNormal="100" workbookViewId="0">
      <selection activeCell="C17" sqref="C17"/>
    </sheetView>
  </sheetViews>
  <sheetFormatPr baseColWidth="8" defaultColWidth="11.42578125" defaultRowHeight="15.75"/>
  <cols>
    <col width="36.85546875" customWidth="1" style="71" min="1" max="1"/>
    <col width="35.140625" customWidth="1" style="81" min="2" max="2"/>
    <col width="103.140625" bestFit="1" customWidth="1" style="81" min="3" max="3"/>
    <col width="74.85546875" bestFit="1" customWidth="1" style="81" min="4" max="4"/>
    <col width="15.5703125" bestFit="1" customWidth="1" style="71" min="5" max="5"/>
    <col width="11.85546875" bestFit="1" customWidth="1" style="81" min="6" max="6"/>
    <col width="20.5703125" customWidth="1" style="81" min="7" max="7"/>
    <col width="11.42578125" customWidth="1" style="81" min="8" max="136"/>
    <col width="11.42578125" customWidth="1" style="81" min="137" max="16384"/>
  </cols>
  <sheetData>
    <row r="2">
      <c r="A2" s="70" t="inlineStr">
        <is>
          <t>Airline Reservation System</t>
        </is>
      </c>
    </row>
    <row r="3">
      <c r="D3" s="71" t="n"/>
    </row>
    <row r="4">
      <c r="B4" s="47" t="inlineStr">
        <is>
          <t>Organizations</t>
        </is>
      </c>
      <c r="C4" s="58" t="inlineStr">
        <is>
          <t>CS492 Team Project</t>
        </is>
      </c>
      <c r="D4" s="71" t="n"/>
    </row>
    <row r="5">
      <c r="B5" s="47" t="inlineStr">
        <is>
          <t>Project</t>
        </is>
      </c>
      <c r="C5" s="58" t="inlineStr">
        <is>
          <t>AetherFlow</t>
        </is>
      </c>
      <c r="D5" s="71" t="n"/>
    </row>
    <row r="6">
      <c r="B6" s="47" t="inlineStr">
        <is>
          <t>UI/UX Specialist &amp; Lead</t>
        </is>
      </c>
      <c r="C6" s="58" t="inlineStr">
        <is>
          <t>Daniel Rhoades</t>
        </is>
      </c>
      <c r="D6" s="71" t="n"/>
    </row>
    <row r="7">
      <c r="B7" s="47" t="inlineStr">
        <is>
          <t>Scrum Master (Project Coordinator)</t>
        </is>
      </c>
      <c r="C7" s="58" t="inlineStr">
        <is>
          <t>Alex Johnston</t>
        </is>
      </c>
      <c r="D7" s="71" t="n"/>
    </row>
    <row r="8">
      <c r="B8" s="47" t="inlineStr">
        <is>
          <t>Logic Architect (Backend)</t>
        </is>
      </c>
      <c r="C8" s="58" t="inlineStr">
        <is>
          <t>Nathan Nied</t>
        </is>
      </c>
      <c r="D8" s="71" t="n"/>
    </row>
    <row r="9">
      <c r="B9" s="47" t="inlineStr">
        <is>
          <t>Detail-Oriented Tester (QA)</t>
        </is>
      </c>
      <c r="C9" s="58" t="inlineStr">
        <is>
          <t>Garrett Lassalle</t>
        </is>
      </c>
      <c r="D9" s="71" t="n"/>
    </row>
    <row r="10" customFormat="1" s="44">
      <c r="A10" s="45" t="inlineStr">
        <is>
          <t xml:space="preserve"> Story ID</t>
        </is>
      </c>
      <c r="B10" s="46" t="inlineStr">
        <is>
          <t>Title</t>
        </is>
      </c>
      <c r="C10" s="46" t="inlineStr">
        <is>
          <t>Description</t>
        </is>
      </c>
      <c r="D10" s="46" t="inlineStr">
        <is>
          <t>Acceptance Criteria</t>
        </is>
      </c>
      <c r="E10" s="46" t="inlineStr">
        <is>
          <t>Priority #</t>
        </is>
      </c>
      <c r="F10" s="46" t="inlineStr">
        <is>
          <t>Sprint #</t>
        </is>
      </c>
      <c r="G10" s="46" t="inlineStr">
        <is>
          <t>Responsibility</t>
        </is>
      </c>
    </row>
    <row r="11" ht="54" customFormat="1" customHeight="1" s="48">
      <c r="A11" s="67" t="inlineStr">
        <is>
          <t>AF-101</t>
        </is>
      </c>
      <c r="B11" s="60" t="inlineStr">
        <is>
          <t>Secure User Login</t>
        </is>
      </c>
      <c r="C11" s="60" t="inlineStr">
        <is>
          <t>As a Warehouse Manager, I want to login with encrypted credentials so that only authorized personnel can access the inventory.</t>
        </is>
      </c>
      <c r="D11" s="60" t="inlineStr">
        <is>
          <t xml:space="preserve">Password hashing implemented; HTTPS encryption active; System blocks unauthorized login attempts. </t>
        </is>
      </c>
      <c r="E11" s="59" t="n">
        <v>1</v>
      </c>
      <c r="F11" s="59" t="n">
        <v>1</v>
      </c>
      <c r="G11" s="66" t="inlineStr">
        <is>
          <t>Nathan Nied</t>
        </is>
      </c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  <c r="AI11" s="57" t="n"/>
      <c r="AJ11" s="57" t="n"/>
      <c r="AK11" s="57" t="n"/>
      <c r="AL11" s="57" t="n"/>
      <c r="AM11" s="57" t="n"/>
      <c r="AN11" s="57" t="n"/>
      <c r="AO11" s="57" t="n"/>
      <c r="AP11" s="57" t="n"/>
      <c r="AQ11" s="57" t="n"/>
      <c r="AR11" s="57" t="n"/>
      <c r="AS11" s="57" t="n"/>
      <c r="AT11" s="57" t="n"/>
      <c r="AU11" s="57" t="n"/>
      <c r="AV11" s="57" t="n"/>
      <c r="AW11" s="57" t="n"/>
      <c r="AX11" s="57" t="n"/>
      <c r="AY11" s="57" t="n"/>
      <c r="AZ11" s="57" t="n"/>
      <c r="BA11" s="57" t="n"/>
      <c r="BB11" s="57" t="n"/>
      <c r="BC11" s="57" t="n"/>
      <c r="BD11" s="57" t="n"/>
      <c r="BE11" s="57" t="n"/>
      <c r="BF11" s="57" t="n"/>
      <c r="BG11" s="57" t="n"/>
      <c r="BH11" s="57" t="n"/>
      <c r="BI11" s="57" t="n"/>
      <c r="BJ11" s="57" t="n"/>
      <c r="BK11" s="57" t="n"/>
      <c r="BL11" s="57" t="n"/>
      <c r="BM11" s="57" t="n"/>
      <c r="BN11" s="57" t="n"/>
      <c r="BO11" s="57" t="n"/>
      <c r="BP11" s="57" t="n"/>
      <c r="BQ11" s="57" t="n"/>
      <c r="BR11" s="57" t="n"/>
      <c r="BS11" s="57" t="n"/>
      <c r="BT11" s="57" t="n"/>
      <c r="BU11" s="57" t="n"/>
      <c r="BV11" s="57" t="n"/>
      <c r="BW11" s="57" t="n"/>
      <c r="BX11" s="57" t="n"/>
      <c r="BY11" s="57" t="n"/>
      <c r="BZ11" s="57" t="n"/>
      <c r="CA11" s="57" t="n"/>
      <c r="CB11" s="57" t="n"/>
      <c r="CC11" s="57" t="n"/>
      <c r="CD11" s="57" t="n"/>
      <c r="CE11" s="57" t="n"/>
      <c r="CF11" s="57" t="n"/>
      <c r="CG11" s="57" t="n"/>
      <c r="CH11" s="57" t="n"/>
      <c r="CI11" s="57" t="n"/>
      <c r="CJ11" s="57" t="n"/>
      <c r="CK11" s="57" t="n"/>
      <c r="CL11" s="57" t="n"/>
      <c r="CM11" s="57" t="n"/>
      <c r="CN11" s="57" t="n"/>
      <c r="CO11" s="57" t="n"/>
      <c r="CP11" s="57" t="n"/>
      <c r="CQ11" s="57" t="n"/>
      <c r="CR11" s="57" t="n"/>
      <c r="CS11" s="57" t="n"/>
      <c r="CT11" s="57" t="n"/>
      <c r="CU11" s="57" t="n"/>
      <c r="CV11" s="57" t="n"/>
      <c r="CW11" s="57" t="n"/>
      <c r="CX11" s="57" t="n"/>
      <c r="CY11" s="57" t="n"/>
      <c r="CZ11" s="57" t="n"/>
      <c r="DA11" s="57" t="n"/>
      <c r="DB11" s="57" t="n"/>
      <c r="DC11" s="57" t="n"/>
      <c r="DD11" s="57" t="n"/>
      <c r="DE11" s="57" t="n"/>
      <c r="DF11" s="57" t="n"/>
      <c r="DG11" s="57" t="n"/>
      <c r="DH11" s="57" t="n"/>
      <c r="DI11" s="57" t="n"/>
      <c r="DJ11" s="57" t="n"/>
      <c r="DK11" s="57" t="n"/>
      <c r="DL11" s="57" t="n"/>
      <c r="DM11" s="57" t="n"/>
      <c r="DN11" s="57" t="n"/>
      <c r="DO11" s="57" t="n"/>
      <c r="DP11" s="57" t="n"/>
      <c r="DQ11" s="57" t="n"/>
      <c r="DR11" s="57" t="n"/>
      <c r="DS11" s="57" t="n"/>
      <c r="DT11" s="57" t="n"/>
      <c r="DU11" s="57" t="n"/>
      <c r="DV11" s="57" t="n"/>
      <c r="DW11" s="57" t="n"/>
      <c r="DX11" s="57" t="n"/>
      <c r="DY11" s="57" t="n"/>
      <c r="DZ11" s="57" t="n"/>
      <c r="EA11" s="57" t="n"/>
      <c r="EB11" s="57" t="n"/>
      <c r="EC11" s="57" t="n"/>
    </row>
    <row r="12" ht="54" customFormat="1" customHeight="1" s="48">
      <c r="A12" s="59" t="inlineStr">
        <is>
          <t>AF-102</t>
        </is>
      </c>
      <c r="B12" s="60" t="inlineStr">
        <is>
          <t>Cloud Repository &amp; Version Control</t>
        </is>
      </c>
      <c r="C12" s="60" t="inlineStr">
        <is>
          <t>As a Developer, I want a centralized cloud repository so that the team can collaborate concurrently and maintain version control.</t>
        </is>
      </c>
      <c r="D12" s="60" t="inlineStr">
        <is>
          <t>GitHub repo initialized; Standard folder structure; Vercel/Hosting connected for deployment.</t>
        </is>
      </c>
      <c r="E12" s="59" t="n">
        <v>1</v>
      </c>
      <c r="F12" s="59" t="n">
        <v>1</v>
      </c>
      <c r="G12" s="66" t="inlineStr">
        <is>
          <t>Alex Johnston</t>
        </is>
      </c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  <c r="AF12" s="57" t="n"/>
      <c r="AG12" s="57" t="n"/>
      <c r="AH12" s="57" t="n"/>
      <c r="AI12" s="57" t="n"/>
      <c r="AJ12" s="57" t="n"/>
      <c r="AK12" s="57" t="n"/>
      <c r="AL12" s="57" t="n"/>
      <c r="AM12" s="57" t="n"/>
      <c r="AN12" s="57" t="n"/>
      <c r="AO12" s="57" t="n"/>
      <c r="AP12" s="57" t="n"/>
      <c r="AQ12" s="57" t="n"/>
      <c r="AR12" s="57" t="n"/>
      <c r="AS12" s="57" t="n"/>
      <c r="AT12" s="57" t="n"/>
      <c r="AU12" s="57" t="n"/>
      <c r="AV12" s="57" t="n"/>
      <c r="AW12" s="57" t="n"/>
      <c r="AX12" s="57" t="n"/>
      <c r="AY12" s="57" t="n"/>
      <c r="AZ12" s="57" t="n"/>
      <c r="BA12" s="57" t="n"/>
      <c r="BB12" s="57" t="n"/>
      <c r="BC12" s="57" t="n"/>
      <c r="BD12" s="57" t="n"/>
      <c r="BE12" s="57" t="n"/>
      <c r="BF12" s="57" t="n"/>
      <c r="BG12" s="57" t="n"/>
      <c r="BH12" s="57" t="n"/>
      <c r="BI12" s="57" t="n"/>
      <c r="BJ12" s="57" t="n"/>
      <c r="BK12" s="57" t="n"/>
      <c r="BL12" s="57" t="n"/>
      <c r="BM12" s="57" t="n"/>
      <c r="BN12" s="57" t="n"/>
      <c r="BO12" s="57" t="n"/>
      <c r="BP12" s="57" t="n"/>
      <c r="BQ12" s="57" t="n"/>
      <c r="BR12" s="57" t="n"/>
      <c r="BS12" s="57" t="n"/>
      <c r="BT12" s="57" t="n"/>
      <c r="BU12" s="57" t="n"/>
      <c r="BV12" s="57" t="n"/>
      <c r="BW12" s="57" t="n"/>
      <c r="BX12" s="57" t="n"/>
      <c r="BY12" s="57" t="n"/>
      <c r="BZ12" s="57" t="n"/>
      <c r="CA12" s="57" t="n"/>
      <c r="CB12" s="57" t="n"/>
      <c r="CC12" s="57" t="n"/>
      <c r="CD12" s="57" t="n"/>
      <c r="CE12" s="57" t="n"/>
      <c r="CF12" s="57" t="n"/>
      <c r="CG12" s="57" t="n"/>
      <c r="CH12" s="57" t="n"/>
      <c r="CI12" s="57" t="n"/>
      <c r="CJ12" s="57" t="n"/>
      <c r="CK12" s="57" t="n"/>
      <c r="CL12" s="57" t="n"/>
      <c r="CM12" s="57" t="n"/>
      <c r="CN12" s="57" t="n"/>
      <c r="CO12" s="57" t="n"/>
      <c r="CP12" s="57" t="n"/>
      <c r="CQ12" s="57" t="n"/>
      <c r="CR12" s="57" t="n"/>
      <c r="CS12" s="57" t="n"/>
      <c r="CT12" s="57" t="n"/>
      <c r="CU12" s="57" t="n"/>
      <c r="CV12" s="57" t="n"/>
      <c r="CW12" s="57" t="n"/>
      <c r="CX12" s="57" t="n"/>
      <c r="CY12" s="57" t="n"/>
      <c r="CZ12" s="57" t="n"/>
      <c r="DA12" s="57" t="n"/>
      <c r="DB12" s="57" t="n"/>
      <c r="DC12" s="57" t="n"/>
      <c r="DD12" s="57" t="n"/>
      <c r="DE12" s="57" t="n"/>
      <c r="DF12" s="57" t="n"/>
      <c r="DG12" s="57" t="n"/>
      <c r="DH12" s="57" t="n"/>
      <c r="DI12" s="57" t="n"/>
      <c r="DJ12" s="57" t="n"/>
      <c r="DK12" s="57" t="n"/>
      <c r="DL12" s="57" t="n"/>
      <c r="DM12" s="57" t="n"/>
      <c r="DN12" s="57" t="n"/>
      <c r="DO12" s="57" t="n"/>
      <c r="DP12" s="57" t="n"/>
      <c r="DQ12" s="57" t="n"/>
      <c r="DR12" s="57" t="n"/>
      <c r="DS12" s="57" t="n"/>
      <c r="DT12" s="57" t="n"/>
      <c r="DU12" s="57" t="n"/>
      <c r="DV12" s="57" t="n"/>
      <c r="DW12" s="57" t="n"/>
      <c r="DX12" s="57" t="n"/>
      <c r="DY12" s="57" t="n"/>
      <c r="DZ12" s="57" t="n"/>
      <c r="EA12" s="57" t="n"/>
      <c r="EB12" s="57" t="n"/>
      <c r="EC12" s="57" t="n"/>
    </row>
    <row r="13" ht="54" customFormat="1" customHeight="1" s="48">
      <c r="A13" s="59" t="inlineStr">
        <is>
          <t>AF-103</t>
        </is>
      </c>
      <c r="B13" s="60" t="inlineStr">
        <is>
          <t>Real-Time Inventory Search by SKU/Name</t>
        </is>
      </c>
      <c r="C13" s="60" t="inlineStr">
        <is>
          <t>As a Staff Member, I want to search items by SKU or Name so I can verify stock levels in real-time.</t>
        </is>
      </c>
      <c r="D13" s="60" t="inlineStr">
        <is>
          <t>Results return in &lt; 2 seconds; Search supports partial SKU matching; Filters by category.</t>
        </is>
      </c>
      <c r="E13" s="59" t="n">
        <v>2</v>
      </c>
      <c r="F13" s="59" t="n">
        <v>1</v>
      </c>
      <c r="G13" s="66" t="inlineStr">
        <is>
          <t>Nathan Nied</t>
        </is>
      </c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AJ13" s="57" t="n"/>
      <c r="AK13" s="57" t="n"/>
      <c r="AL13" s="57" t="n"/>
      <c r="AM13" s="57" t="n"/>
      <c r="AN13" s="57" t="n"/>
      <c r="AO13" s="57" t="n"/>
      <c r="AP13" s="57" t="n"/>
      <c r="AQ13" s="57" t="n"/>
      <c r="AR13" s="57" t="n"/>
      <c r="AS13" s="57" t="n"/>
      <c r="AT13" s="57" t="n"/>
      <c r="AU13" s="57" t="n"/>
      <c r="AV13" s="57" t="n"/>
      <c r="AW13" s="57" t="n"/>
      <c r="AX13" s="57" t="n"/>
      <c r="AY13" s="57" t="n"/>
      <c r="AZ13" s="57" t="n"/>
      <c r="BA13" s="57" t="n"/>
      <c r="BB13" s="57" t="n"/>
      <c r="BC13" s="57" t="n"/>
      <c r="BD13" s="57" t="n"/>
      <c r="BE13" s="57" t="n"/>
      <c r="BF13" s="57" t="n"/>
      <c r="BG13" s="57" t="n"/>
      <c r="BH13" s="57" t="n"/>
      <c r="BI13" s="57" t="n"/>
      <c r="BJ13" s="57" t="n"/>
      <c r="BK13" s="57" t="n"/>
      <c r="BL13" s="57" t="n"/>
      <c r="BM13" s="57" t="n"/>
      <c r="BN13" s="57" t="n"/>
      <c r="BO13" s="57" t="n"/>
      <c r="BP13" s="57" t="n"/>
      <c r="BQ13" s="57" t="n"/>
      <c r="BR13" s="57" t="n"/>
      <c r="BS13" s="57" t="n"/>
      <c r="BT13" s="57" t="n"/>
      <c r="BU13" s="57" t="n"/>
      <c r="BV13" s="57" t="n"/>
      <c r="BW13" s="57" t="n"/>
      <c r="BX13" s="57" t="n"/>
      <c r="BY13" s="57" t="n"/>
      <c r="BZ13" s="57" t="n"/>
      <c r="CA13" s="57" t="n"/>
      <c r="CB13" s="57" t="n"/>
      <c r="CC13" s="57" t="n"/>
      <c r="CD13" s="57" t="n"/>
      <c r="CE13" s="57" t="n"/>
      <c r="CF13" s="57" t="n"/>
      <c r="CG13" s="57" t="n"/>
      <c r="CH13" s="57" t="n"/>
      <c r="CI13" s="57" t="n"/>
      <c r="CJ13" s="57" t="n"/>
      <c r="CK13" s="57" t="n"/>
      <c r="CL13" s="57" t="n"/>
      <c r="CM13" s="57" t="n"/>
      <c r="CN13" s="57" t="n"/>
      <c r="CO13" s="57" t="n"/>
      <c r="CP13" s="57" t="n"/>
      <c r="CQ13" s="57" t="n"/>
      <c r="CR13" s="57" t="n"/>
      <c r="CS13" s="57" t="n"/>
      <c r="CT13" s="57" t="n"/>
      <c r="CU13" s="57" t="n"/>
      <c r="CV13" s="57" t="n"/>
      <c r="CW13" s="57" t="n"/>
      <c r="CX13" s="57" t="n"/>
      <c r="CY13" s="57" t="n"/>
      <c r="CZ13" s="57" t="n"/>
      <c r="DA13" s="57" t="n"/>
      <c r="DB13" s="57" t="n"/>
      <c r="DC13" s="57" t="n"/>
      <c r="DD13" s="57" t="n"/>
      <c r="DE13" s="57" t="n"/>
      <c r="DF13" s="57" t="n"/>
      <c r="DG13" s="57" t="n"/>
      <c r="DH13" s="57" t="n"/>
      <c r="DI13" s="57" t="n"/>
      <c r="DJ13" s="57" t="n"/>
      <c r="DK13" s="57" t="n"/>
      <c r="DL13" s="57" t="n"/>
      <c r="DM13" s="57" t="n"/>
      <c r="DN13" s="57" t="n"/>
      <c r="DO13" s="57" t="n"/>
      <c r="DP13" s="57" t="n"/>
      <c r="DQ13" s="57" t="n"/>
      <c r="DR13" s="57" t="n"/>
      <c r="DS13" s="57" t="n"/>
      <c r="DT13" s="57" t="n"/>
      <c r="DU13" s="57" t="n"/>
      <c r="DV13" s="57" t="n"/>
      <c r="DW13" s="57" t="n"/>
      <c r="DX13" s="57" t="n"/>
      <c r="DY13" s="57" t="n"/>
      <c r="DZ13" s="57" t="n"/>
      <c r="EA13" s="57" t="n"/>
      <c r="EB13" s="57" t="n"/>
      <c r="EC13" s="57" t="n"/>
    </row>
    <row r="14" ht="54" customFormat="1" customHeight="1" s="48">
      <c r="A14" s="59" t="inlineStr">
        <is>
          <t>AF-104</t>
        </is>
      </c>
      <c r="B14" s="60" t="inlineStr">
        <is>
          <t>Stock Adjustment Audit Log</t>
        </is>
      </c>
      <c r="C14" s="60" t="inlineStr">
        <is>
          <t>As an Administrator, I want to see a log of all stock adjustments so that we have an operational record of changes.</t>
        </is>
      </c>
      <c r="D14" s="66" t="inlineStr">
        <is>
          <t>Log entries include User ID and Timestamp; Data is stored in a read-only format for non-admins.</t>
        </is>
      </c>
      <c r="E14" s="59" t="n">
        <v>2</v>
      </c>
      <c r="F14" s="59" t="n">
        <v>1</v>
      </c>
      <c r="G14" s="66" t="inlineStr">
        <is>
          <t xml:space="preserve">Nathan Nied </t>
        </is>
      </c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  <c r="AF14" s="57" t="n"/>
      <c r="AG14" s="57" t="n"/>
      <c r="AH14" s="57" t="n"/>
      <c r="AI14" s="57" t="n"/>
      <c r="AJ14" s="57" t="n"/>
      <c r="AK14" s="57" t="n"/>
      <c r="AL14" s="57" t="n"/>
      <c r="AM14" s="57" t="n"/>
      <c r="AN14" s="57" t="n"/>
      <c r="AO14" s="57" t="n"/>
      <c r="AP14" s="57" t="n"/>
      <c r="AQ14" s="57" t="n"/>
      <c r="AR14" s="57" t="n"/>
      <c r="AS14" s="57" t="n"/>
      <c r="AT14" s="57" t="n"/>
      <c r="AU14" s="57" t="n"/>
      <c r="AV14" s="57" t="n"/>
      <c r="AW14" s="57" t="n"/>
      <c r="AX14" s="57" t="n"/>
      <c r="AY14" s="57" t="n"/>
      <c r="AZ14" s="57" t="n"/>
      <c r="BA14" s="57" t="n"/>
      <c r="BB14" s="57" t="n"/>
      <c r="BC14" s="57" t="n"/>
      <c r="BD14" s="57" t="n"/>
      <c r="BE14" s="57" t="n"/>
      <c r="BF14" s="57" t="n"/>
      <c r="BG14" s="57" t="n"/>
      <c r="BH14" s="57" t="n"/>
      <c r="BI14" s="57" t="n"/>
      <c r="BJ14" s="57" t="n"/>
      <c r="BK14" s="57" t="n"/>
      <c r="BL14" s="57" t="n"/>
      <c r="BM14" s="57" t="n"/>
      <c r="BN14" s="57" t="n"/>
      <c r="BO14" s="57" t="n"/>
      <c r="BP14" s="57" t="n"/>
      <c r="BQ14" s="57" t="n"/>
      <c r="BR14" s="57" t="n"/>
      <c r="BS14" s="57" t="n"/>
      <c r="BT14" s="57" t="n"/>
      <c r="BU14" s="57" t="n"/>
      <c r="BV14" s="57" t="n"/>
      <c r="BW14" s="57" t="n"/>
      <c r="BX14" s="57" t="n"/>
      <c r="BY14" s="57" t="n"/>
      <c r="BZ14" s="57" t="n"/>
      <c r="CA14" s="57" t="n"/>
      <c r="CB14" s="57" t="n"/>
      <c r="CC14" s="57" t="n"/>
      <c r="CD14" s="57" t="n"/>
      <c r="CE14" s="57" t="n"/>
      <c r="CF14" s="57" t="n"/>
      <c r="CG14" s="57" t="n"/>
      <c r="CH14" s="57" t="n"/>
      <c r="CI14" s="57" t="n"/>
      <c r="CJ14" s="57" t="n"/>
      <c r="CK14" s="57" t="n"/>
      <c r="CL14" s="57" t="n"/>
      <c r="CM14" s="57" t="n"/>
      <c r="CN14" s="57" t="n"/>
      <c r="CO14" s="57" t="n"/>
      <c r="CP14" s="57" t="n"/>
      <c r="CQ14" s="57" t="n"/>
      <c r="CR14" s="57" t="n"/>
      <c r="CS14" s="57" t="n"/>
      <c r="CT14" s="57" t="n"/>
      <c r="CU14" s="57" t="n"/>
      <c r="CV14" s="57" t="n"/>
      <c r="CW14" s="57" t="n"/>
      <c r="CX14" s="57" t="n"/>
      <c r="CY14" s="57" t="n"/>
      <c r="CZ14" s="57" t="n"/>
      <c r="DA14" s="57" t="n"/>
      <c r="DB14" s="57" t="n"/>
      <c r="DC14" s="57" t="n"/>
      <c r="DD14" s="57" t="n"/>
      <c r="DE14" s="57" t="n"/>
      <c r="DF14" s="57" t="n"/>
      <c r="DG14" s="57" t="n"/>
      <c r="DH14" s="57" t="n"/>
      <c r="DI14" s="57" t="n"/>
      <c r="DJ14" s="57" t="n"/>
      <c r="DK14" s="57" t="n"/>
      <c r="DL14" s="57" t="n"/>
      <c r="DM14" s="57" t="n"/>
      <c r="DN14" s="57" t="n"/>
      <c r="DO14" s="57" t="n"/>
      <c r="DP14" s="57" t="n"/>
      <c r="DQ14" s="57" t="n"/>
      <c r="DR14" s="57" t="n"/>
      <c r="DS14" s="57" t="n"/>
      <c r="DT14" s="57" t="n"/>
      <c r="DU14" s="57" t="n"/>
      <c r="DV14" s="57" t="n"/>
      <c r="DW14" s="57" t="n"/>
      <c r="DX14" s="57" t="n"/>
      <c r="DY14" s="57" t="n"/>
      <c r="DZ14" s="57" t="n"/>
      <c r="EA14" s="57" t="n"/>
      <c r="EB14" s="57" t="n"/>
      <c r="EC14" s="57" t="n"/>
    </row>
    <row r="15" ht="54" customFormat="1" customHeight="1" s="48">
      <c r="A15" s="67" t="inlineStr">
        <is>
          <t>AF-105</t>
        </is>
      </c>
      <c r="B15" s="66" t="inlineStr">
        <is>
          <t>Low-Stock Visual Alert</t>
        </is>
      </c>
      <c r="C15" s="66" t="inlineStr">
        <is>
          <t>As a Manager, I want a visual warning when stock is below 10 units so I know when to reorder goods.</t>
        </is>
      </c>
      <c r="D15" s="66" t="inlineStr">
        <is>
          <t>UI turns Alert Crimson (#D50000) for low stock; Alert triggers automatically upon quantity change.</t>
        </is>
      </c>
      <c r="E15" s="59" t="n">
        <v>2</v>
      </c>
      <c r="F15" s="59" t="n">
        <v>2</v>
      </c>
      <c r="G15" s="66" t="inlineStr">
        <is>
          <t>Daniel Rhoades</t>
        </is>
      </c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  <c r="AI15" s="57" t="n"/>
      <c r="AJ15" s="57" t="n"/>
      <c r="AK15" s="57" t="n"/>
      <c r="AL15" s="57" t="n"/>
      <c r="AM15" s="57" t="n"/>
      <c r="AN15" s="57" t="n"/>
      <c r="AO15" s="57" t="n"/>
      <c r="AP15" s="57" t="n"/>
      <c r="AQ15" s="57" t="n"/>
      <c r="AR15" s="57" t="n"/>
      <c r="AS15" s="57" t="n"/>
      <c r="AT15" s="57" t="n"/>
      <c r="AU15" s="57" t="n"/>
      <c r="AV15" s="57" t="n"/>
      <c r="AW15" s="57" t="n"/>
      <c r="AX15" s="57" t="n"/>
      <c r="AY15" s="57" t="n"/>
      <c r="AZ15" s="57" t="n"/>
      <c r="BA15" s="57" t="n"/>
      <c r="BB15" s="57" t="n"/>
      <c r="BC15" s="57" t="n"/>
      <c r="BD15" s="57" t="n"/>
      <c r="BE15" s="57" t="n"/>
      <c r="BF15" s="57" t="n"/>
      <c r="BG15" s="57" t="n"/>
      <c r="BH15" s="57" t="n"/>
      <c r="BI15" s="57" t="n"/>
      <c r="BJ15" s="57" t="n"/>
      <c r="BK15" s="57" t="n"/>
      <c r="BL15" s="57" t="n"/>
      <c r="BM15" s="57" t="n"/>
      <c r="BN15" s="57" t="n"/>
      <c r="BO15" s="57" t="n"/>
      <c r="BP15" s="57" t="n"/>
      <c r="BQ15" s="57" t="n"/>
      <c r="BR15" s="57" t="n"/>
      <c r="BS15" s="57" t="n"/>
      <c r="BT15" s="57" t="n"/>
      <c r="BU15" s="57" t="n"/>
      <c r="BV15" s="57" t="n"/>
      <c r="BW15" s="57" t="n"/>
      <c r="BX15" s="57" t="n"/>
      <c r="BY15" s="57" t="n"/>
      <c r="BZ15" s="57" t="n"/>
      <c r="CA15" s="57" t="n"/>
      <c r="CB15" s="57" t="n"/>
      <c r="CC15" s="57" t="n"/>
      <c r="CD15" s="57" t="n"/>
      <c r="CE15" s="57" t="n"/>
      <c r="CF15" s="57" t="n"/>
      <c r="CG15" s="57" t="n"/>
      <c r="CH15" s="57" t="n"/>
      <c r="CI15" s="57" t="n"/>
      <c r="CJ15" s="57" t="n"/>
      <c r="CK15" s="57" t="n"/>
      <c r="CL15" s="57" t="n"/>
      <c r="CM15" s="57" t="n"/>
      <c r="CN15" s="57" t="n"/>
      <c r="CO15" s="57" t="n"/>
      <c r="CP15" s="57" t="n"/>
      <c r="CQ15" s="57" t="n"/>
      <c r="CR15" s="57" t="n"/>
      <c r="CS15" s="57" t="n"/>
      <c r="CT15" s="57" t="n"/>
      <c r="CU15" s="57" t="n"/>
      <c r="CV15" s="57" t="n"/>
      <c r="CW15" s="57" t="n"/>
      <c r="CX15" s="57" t="n"/>
      <c r="CY15" s="57" t="n"/>
      <c r="CZ15" s="57" t="n"/>
      <c r="DA15" s="57" t="n"/>
      <c r="DB15" s="57" t="n"/>
      <c r="DC15" s="57" t="n"/>
      <c r="DD15" s="57" t="n"/>
      <c r="DE15" s="57" t="n"/>
      <c r="DF15" s="57" t="n"/>
      <c r="DG15" s="57" t="n"/>
      <c r="DH15" s="57" t="n"/>
      <c r="DI15" s="57" t="n"/>
      <c r="DJ15" s="57" t="n"/>
      <c r="DK15" s="57" t="n"/>
      <c r="DL15" s="57" t="n"/>
      <c r="DM15" s="57" t="n"/>
      <c r="DN15" s="57" t="n"/>
      <c r="DO15" s="57" t="n"/>
      <c r="DP15" s="57" t="n"/>
      <c r="DQ15" s="57" t="n"/>
      <c r="DR15" s="57" t="n"/>
      <c r="DS15" s="57" t="n"/>
      <c r="DT15" s="57" t="n"/>
      <c r="DU15" s="57" t="n"/>
      <c r="DV15" s="57" t="n"/>
      <c r="DW15" s="57" t="n"/>
      <c r="DX15" s="57" t="n"/>
      <c r="DY15" s="57" t="n"/>
      <c r="DZ15" s="57" t="n"/>
      <c r="EA15" s="57" t="n"/>
      <c r="EB15" s="57" t="n"/>
      <c r="EC15" s="57" t="n"/>
    </row>
    <row r="16" ht="54" customFormat="1" customHeight="1" s="48">
      <c r="A16" s="67" t="inlineStr">
        <is>
          <t>AF-106</t>
        </is>
      </c>
      <c r="B16" s="66" t="inlineStr">
        <is>
          <t xml:space="preserve"> Add New Item to Inventory Catalog</t>
        </is>
      </c>
      <c r="C16" s="66" t="inlineStr">
        <is>
          <t>As a Staff Member, I want to add new items to the catalog so the inventory reflects current warehouse holdings.</t>
        </is>
      </c>
      <c r="D16" s="66" t="inlineStr">
        <is>
          <t>New SKUs saved to SQL database; Data validation ensures ISBN/SKU format is correct.</t>
        </is>
      </c>
      <c r="E16" s="59" t="n">
        <v>3</v>
      </c>
      <c r="F16" s="59" t="n">
        <v>2</v>
      </c>
      <c r="G16" s="66" t="inlineStr">
        <is>
          <t>Nathan Nied &amp; Garrett Lassalle</t>
        </is>
      </c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  <c r="AF16" s="57" t="n"/>
      <c r="AG16" s="57" t="n"/>
      <c r="AH16" s="57" t="n"/>
      <c r="AI16" s="57" t="n"/>
      <c r="AJ16" s="57" t="n"/>
      <c r="AK16" s="57" t="n"/>
      <c r="AL16" s="57" t="n"/>
      <c r="AM16" s="57" t="n"/>
      <c r="AN16" s="57" t="n"/>
      <c r="AO16" s="57" t="n"/>
      <c r="AP16" s="57" t="n"/>
      <c r="AQ16" s="57" t="n"/>
      <c r="AR16" s="57" t="n"/>
      <c r="AS16" s="57" t="n"/>
      <c r="AT16" s="57" t="n"/>
      <c r="AU16" s="57" t="n"/>
      <c r="AV16" s="57" t="n"/>
      <c r="AW16" s="57" t="n"/>
      <c r="AX16" s="57" t="n"/>
      <c r="AY16" s="57" t="n"/>
      <c r="AZ16" s="57" t="n"/>
      <c r="BA16" s="57" t="n"/>
      <c r="BB16" s="57" t="n"/>
      <c r="BC16" s="57" t="n"/>
      <c r="BD16" s="57" t="n"/>
      <c r="BE16" s="57" t="n"/>
      <c r="BF16" s="57" t="n"/>
      <c r="BG16" s="57" t="n"/>
      <c r="BH16" s="57" t="n"/>
      <c r="BI16" s="57" t="n"/>
      <c r="BJ16" s="57" t="n"/>
      <c r="BK16" s="57" t="n"/>
      <c r="BL16" s="57" t="n"/>
      <c r="BM16" s="57" t="n"/>
      <c r="BN16" s="57" t="n"/>
      <c r="BO16" s="57" t="n"/>
      <c r="BP16" s="57" t="n"/>
      <c r="BQ16" s="57" t="n"/>
      <c r="BR16" s="57" t="n"/>
      <c r="BS16" s="57" t="n"/>
      <c r="BT16" s="57" t="n"/>
      <c r="BU16" s="57" t="n"/>
      <c r="BV16" s="57" t="n"/>
      <c r="BW16" s="57" t="n"/>
      <c r="BX16" s="57" t="n"/>
      <c r="BY16" s="57" t="n"/>
      <c r="BZ16" s="57" t="n"/>
      <c r="CA16" s="57" t="n"/>
      <c r="CB16" s="57" t="n"/>
      <c r="CC16" s="57" t="n"/>
      <c r="CD16" s="57" t="n"/>
      <c r="CE16" s="57" t="n"/>
      <c r="CF16" s="57" t="n"/>
      <c r="CG16" s="57" t="n"/>
      <c r="CH16" s="57" t="n"/>
      <c r="CI16" s="57" t="n"/>
      <c r="CJ16" s="57" t="n"/>
      <c r="CK16" s="57" t="n"/>
      <c r="CL16" s="57" t="n"/>
      <c r="CM16" s="57" t="n"/>
      <c r="CN16" s="57" t="n"/>
      <c r="CO16" s="57" t="n"/>
      <c r="CP16" s="57" t="n"/>
      <c r="CQ16" s="57" t="n"/>
      <c r="CR16" s="57" t="n"/>
      <c r="CS16" s="57" t="n"/>
      <c r="CT16" s="57" t="n"/>
      <c r="CU16" s="57" t="n"/>
      <c r="CV16" s="57" t="n"/>
      <c r="CW16" s="57" t="n"/>
      <c r="CX16" s="57" t="n"/>
      <c r="CY16" s="57" t="n"/>
      <c r="CZ16" s="57" t="n"/>
      <c r="DA16" s="57" t="n"/>
      <c r="DB16" s="57" t="n"/>
      <c r="DC16" s="57" t="n"/>
      <c r="DD16" s="57" t="n"/>
      <c r="DE16" s="57" t="n"/>
      <c r="DF16" s="57" t="n"/>
      <c r="DG16" s="57" t="n"/>
      <c r="DH16" s="57" t="n"/>
      <c r="DI16" s="57" t="n"/>
      <c r="DJ16" s="57" t="n"/>
      <c r="DK16" s="57" t="n"/>
      <c r="DL16" s="57" t="n"/>
      <c r="DM16" s="57" t="n"/>
      <c r="DN16" s="57" t="n"/>
      <c r="DO16" s="57" t="n"/>
      <c r="DP16" s="57" t="n"/>
      <c r="DQ16" s="57" t="n"/>
      <c r="DR16" s="57" t="n"/>
      <c r="DS16" s="57" t="n"/>
      <c r="DT16" s="57" t="n"/>
      <c r="DU16" s="57" t="n"/>
      <c r="DV16" s="57" t="n"/>
      <c r="DW16" s="57" t="n"/>
      <c r="DX16" s="57" t="n"/>
      <c r="DY16" s="57" t="n"/>
      <c r="DZ16" s="57" t="n"/>
      <c r="EA16" s="57" t="n"/>
      <c r="EB16" s="57" t="n"/>
      <c r="EC16" s="57" t="n"/>
    </row>
    <row r="17" ht="54" customFormat="1" customHeight="1" s="48">
      <c r="A17" s="59" t="n"/>
      <c r="B17" s="60" t="n"/>
      <c r="C17" s="60" t="n"/>
      <c r="D17" s="60" t="n"/>
      <c r="E17" s="59" t="n"/>
      <c r="F17" s="59" t="n"/>
      <c r="G17" s="60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7" t="n"/>
      <c r="AH17" s="57" t="n"/>
      <c r="AI17" s="57" t="n"/>
      <c r="AJ17" s="57" t="n"/>
      <c r="AK17" s="57" t="n"/>
      <c r="AL17" s="57" t="n"/>
      <c r="AM17" s="57" t="n"/>
      <c r="AN17" s="57" t="n"/>
      <c r="AO17" s="57" t="n"/>
      <c r="AP17" s="57" t="n"/>
      <c r="AQ17" s="57" t="n"/>
      <c r="AR17" s="57" t="n"/>
      <c r="AS17" s="57" t="n"/>
      <c r="AT17" s="57" t="n"/>
      <c r="AU17" s="57" t="n"/>
      <c r="AV17" s="57" t="n"/>
      <c r="AW17" s="57" t="n"/>
      <c r="AX17" s="57" t="n"/>
      <c r="AY17" s="57" t="n"/>
      <c r="AZ17" s="57" t="n"/>
      <c r="BA17" s="57" t="n"/>
      <c r="BB17" s="57" t="n"/>
      <c r="BC17" s="57" t="n"/>
      <c r="BD17" s="57" t="n"/>
      <c r="BE17" s="57" t="n"/>
      <c r="BF17" s="57" t="n"/>
      <c r="BG17" s="57" t="n"/>
      <c r="BH17" s="57" t="n"/>
      <c r="BI17" s="57" t="n"/>
      <c r="BJ17" s="57" t="n"/>
      <c r="BK17" s="57" t="n"/>
      <c r="BL17" s="57" t="n"/>
      <c r="BM17" s="57" t="n"/>
      <c r="BN17" s="57" t="n"/>
      <c r="BO17" s="57" t="n"/>
      <c r="BP17" s="57" t="n"/>
      <c r="BQ17" s="57" t="n"/>
      <c r="BR17" s="57" t="n"/>
      <c r="BS17" s="57" t="n"/>
      <c r="BT17" s="57" t="n"/>
      <c r="BU17" s="57" t="n"/>
      <c r="BV17" s="57" t="n"/>
      <c r="BW17" s="57" t="n"/>
      <c r="BX17" s="57" t="n"/>
      <c r="BY17" s="57" t="n"/>
      <c r="BZ17" s="57" t="n"/>
      <c r="CA17" s="57" t="n"/>
      <c r="CB17" s="57" t="n"/>
      <c r="CC17" s="57" t="n"/>
      <c r="CD17" s="57" t="n"/>
      <c r="CE17" s="57" t="n"/>
      <c r="CF17" s="57" t="n"/>
      <c r="CG17" s="57" t="n"/>
      <c r="CH17" s="57" t="n"/>
      <c r="CI17" s="57" t="n"/>
      <c r="CJ17" s="57" t="n"/>
      <c r="CK17" s="57" t="n"/>
      <c r="CL17" s="57" t="n"/>
      <c r="CM17" s="57" t="n"/>
      <c r="CN17" s="57" t="n"/>
      <c r="CO17" s="57" t="n"/>
      <c r="CP17" s="57" t="n"/>
      <c r="CQ17" s="57" t="n"/>
      <c r="CR17" s="57" t="n"/>
      <c r="CS17" s="57" t="n"/>
      <c r="CT17" s="57" t="n"/>
      <c r="CU17" s="57" t="n"/>
      <c r="CV17" s="57" t="n"/>
      <c r="CW17" s="57" t="n"/>
      <c r="CX17" s="57" t="n"/>
      <c r="CY17" s="57" t="n"/>
      <c r="CZ17" s="57" t="n"/>
      <c r="DA17" s="57" t="n"/>
      <c r="DB17" s="57" t="n"/>
      <c r="DC17" s="57" t="n"/>
      <c r="DD17" s="57" t="n"/>
      <c r="DE17" s="57" t="n"/>
      <c r="DF17" s="57" t="n"/>
      <c r="DG17" s="57" t="n"/>
      <c r="DH17" s="57" t="n"/>
      <c r="DI17" s="57" t="n"/>
      <c r="DJ17" s="57" t="n"/>
      <c r="DK17" s="57" t="n"/>
      <c r="DL17" s="57" t="n"/>
      <c r="DM17" s="57" t="n"/>
      <c r="DN17" s="57" t="n"/>
      <c r="DO17" s="57" t="n"/>
      <c r="DP17" s="57" t="n"/>
      <c r="DQ17" s="57" t="n"/>
      <c r="DR17" s="57" t="n"/>
      <c r="DS17" s="57" t="n"/>
      <c r="DT17" s="57" t="n"/>
      <c r="DU17" s="57" t="n"/>
      <c r="DV17" s="57" t="n"/>
      <c r="DW17" s="57" t="n"/>
      <c r="DX17" s="57" t="n"/>
      <c r="DY17" s="57" t="n"/>
      <c r="DZ17" s="57" t="n"/>
      <c r="EA17" s="57" t="n"/>
      <c r="EB17" s="57" t="n"/>
      <c r="EC17" s="57" t="n"/>
    </row>
    <row r="18" ht="54" customFormat="1" customHeight="1" s="48">
      <c r="A18" s="59" t="n"/>
      <c r="B18" s="60" t="n"/>
      <c r="C18" s="60" t="n"/>
      <c r="D18" s="60" t="n"/>
      <c r="E18" s="59" t="n"/>
      <c r="F18" s="59" t="n"/>
      <c r="G18" s="60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  <c r="AF18" s="57" t="n"/>
      <c r="AG18" s="57" t="n"/>
      <c r="AH18" s="57" t="n"/>
      <c r="AI18" s="57" t="n"/>
      <c r="AJ18" s="57" t="n"/>
      <c r="AK18" s="57" t="n"/>
      <c r="AL18" s="57" t="n"/>
      <c r="AM18" s="57" t="n"/>
      <c r="AN18" s="57" t="n"/>
      <c r="AO18" s="57" t="n"/>
      <c r="AP18" s="57" t="n"/>
      <c r="AQ18" s="57" t="n"/>
      <c r="AR18" s="57" t="n"/>
      <c r="AS18" s="57" t="n"/>
      <c r="AT18" s="57" t="n"/>
      <c r="AU18" s="57" t="n"/>
      <c r="AV18" s="57" t="n"/>
      <c r="AW18" s="57" t="n"/>
      <c r="AX18" s="57" t="n"/>
      <c r="AY18" s="57" t="n"/>
      <c r="AZ18" s="57" t="n"/>
      <c r="BA18" s="57" t="n"/>
      <c r="BB18" s="57" t="n"/>
      <c r="BC18" s="57" t="n"/>
      <c r="BD18" s="57" t="n"/>
      <c r="BE18" s="57" t="n"/>
      <c r="BF18" s="57" t="n"/>
      <c r="BG18" s="57" t="n"/>
      <c r="BH18" s="57" t="n"/>
      <c r="BI18" s="57" t="n"/>
      <c r="BJ18" s="57" t="n"/>
      <c r="BK18" s="57" t="n"/>
      <c r="BL18" s="57" t="n"/>
      <c r="BM18" s="57" t="n"/>
      <c r="BN18" s="57" t="n"/>
      <c r="BO18" s="57" t="n"/>
      <c r="BP18" s="57" t="n"/>
      <c r="BQ18" s="57" t="n"/>
      <c r="BR18" s="57" t="n"/>
      <c r="BS18" s="57" t="n"/>
      <c r="BT18" s="57" t="n"/>
      <c r="BU18" s="57" t="n"/>
      <c r="BV18" s="57" t="n"/>
      <c r="BW18" s="57" t="n"/>
      <c r="BX18" s="57" t="n"/>
      <c r="BY18" s="57" t="n"/>
      <c r="BZ18" s="57" t="n"/>
      <c r="CA18" s="57" t="n"/>
      <c r="CB18" s="57" t="n"/>
      <c r="CC18" s="57" t="n"/>
      <c r="CD18" s="57" t="n"/>
      <c r="CE18" s="57" t="n"/>
      <c r="CF18" s="57" t="n"/>
      <c r="CG18" s="57" t="n"/>
      <c r="CH18" s="57" t="n"/>
      <c r="CI18" s="57" t="n"/>
      <c r="CJ18" s="57" t="n"/>
      <c r="CK18" s="57" t="n"/>
      <c r="CL18" s="57" t="n"/>
      <c r="CM18" s="57" t="n"/>
      <c r="CN18" s="57" t="n"/>
      <c r="CO18" s="57" t="n"/>
      <c r="CP18" s="57" t="n"/>
      <c r="CQ18" s="57" t="n"/>
      <c r="CR18" s="57" t="n"/>
      <c r="CS18" s="57" t="n"/>
      <c r="CT18" s="57" t="n"/>
      <c r="CU18" s="57" t="n"/>
      <c r="CV18" s="57" t="n"/>
      <c r="CW18" s="57" t="n"/>
      <c r="CX18" s="57" t="n"/>
      <c r="CY18" s="57" t="n"/>
      <c r="CZ18" s="57" t="n"/>
      <c r="DA18" s="57" t="n"/>
      <c r="DB18" s="57" t="n"/>
      <c r="DC18" s="57" t="n"/>
      <c r="DD18" s="57" t="n"/>
      <c r="DE18" s="57" t="n"/>
      <c r="DF18" s="57" t="n"/>
      <c r="DG18" s="57" t="n"/>
      <c r="DH18" s="57" t="n"/>
      <c r="DI18" s="57" t="n"/>
      <c r="DJ18" s="57" t="n"/>
      <c r="DK18" s="57" t="n"/>
      <c r="DL18" s="57" t="n"/>
      <c r="DM18" s="57" t="n"/>
      <c r="DN18" s="57" t="n"/>
      <c r="DO18" s="57" t="n"/>
      <c r="DP18" s="57" t="n"/>
      <c r="DQ18" s="57" t="n"/>
      <c r="DR18" s="57" t="n"/>
      <c r="DS18" s="57" t="n"/>
      <c r="DT18" s="57" t="n"/>
      <c r="DU18" s="57" t="n"/>
      <c r="DV18" s="57" t="n"/>
      <c r="DW18" s="57" t="n"/>
      <c r="DX18" s="57" t="n"/>
      <c r="DY18" s="57" t="n"/>
      <c r="DZ18" s="57" t="n"/>
      <c r="EA18" s="57" t="n"/>
      <c r="EB18" s="57" t="n"/>
      <c r="EC18" s="57" t="n"/>
    </row>
    <row r="19" ht="54" customFormat="1" customHeight="1" s="48">
      <c r="A19" s="59" t="n"/>
      <c r="B19" s="60" t="n"/>
      <c r="C19" s="60" t="n"/>
      <c r="D19" s="60" t="n"/>
      <c r="E19" s="59" t="n"/>
      <c r="F19" s="59" t="n"/>
      <c r="G19" s="60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7" t="n"/>
      <c r="AH19" s="57" t="n"/>
      <c r="AI19" s="57" t="n"/>
      <c r="AJ19" s="57" t="n"/>
      <c r="AK19" s="57" t="n"/>
      <c r="AL19" s="57" t="n"/>
      <c r="AM19" s="57" t="n"/>
      <c r="AN19" s="57" t="n"/>
      <c r="AO19" s="57" t="n"/>
      <c r="AP19" s="57" t="n"/>
      <c r="AQ19" s="57" t="n"/>
      <c r="AR19" s="57" t="n"/>
      <c r="AS19" s="57" t="n"/>
      <c r="AT19" s="57" t="n"/>
      <c r="AU19" s="57" t="n"/>
      <c r="AV19" s="57" t="n"/>
      <c r="AW19" s="57" t="n"/>
      <c r="AX19" s="57" t="n"/>
      <c r="AY19" s="57" t="n"/>
      <c r="AZ19" s="57" t="n"/>
      <c r="BA19" s="57" t="n"/>
      <c r="BB19" s="57" t="n"/>
      <c r="BC19" s="57" t="n"/>
      <c r="BD19" s="57" t="n"/>
      <c r="BE19" s="57" t="n"/>
      <c r="BF19" s="57" t="n"/>
      <c r="BG19" s="57" t="n"/>
      <c r="BH19" s="57" t="n"/>
      <c r="BI19" s="57" t="n"/>
      <c r="BJ19" s="57" t="n"/>
      <c r="BK19" s="57" t="n"/>
      <c r="BL19" s="57" t="n"/>
      <c r="BM19" s="57" t="n"/>
      <c r="BN19" s="57" t="n"/>
      <c r="BO19" s="57" t="n"/>
      <c r="BP19" s="57" t="n"/>
      <c r="BQ19" s="57" t="n"/>
      <c r="BR19" s="57" t="n"/>
      <c r="BS19" s="57" t="n"/>
      <c r="BT19" s="57" t="n"/>
      <c r="BU19" s="57" t="n"/>
      <c r="BV19" s="57" t="n"/>
      <c r="BW19" s="57" t="n"/>
      <c r="BX19" s="57" t="n"/>
      <c r="BY19" s="57" t="n"/>
      <c r="BZ19" s="57" t="n"/>
      <c r="CA19" s="57" t="n"/>
      <c r="CB19" s="57" t="n"/>
      <c r="CC19" s="57" t="n"/>
      <c r="CD19" s="57" t="n"/>
      <c r="CE19" s="57" t="n"/>
      <c r="CF19" s="57" t="n"/>
      <c r="CG19" s="57" t="n"/>
      <c r="CH19" s="57" t="n"/>
      <c r="CI19" s="57" t="n"/>
      <c r="CJ19" s="57" t="n"/>
      <c r="CK19" s="57" t="n"/>
      <c r="CL19" s="57" t="n"/>
      <c r="CM19" s="57" t="n"/>
      <c r="CN19" s="57" t="n"/>
      <c r="CO19" s="57" t="n"/>
      <c r="CP19" s="57" t="n"/>
      <c r="CQ19" s="57" t="n"/>
      <c r="CR19" s="57" t="n"/>
      <c r="CS19" s="57" t="n"/>
      <c r="CT19" s="57" t="n"/>
      <c r="CU19" s="57" t="n"/>
      <c r="CV19" s="57" t="n"/>
      <c r="CW19" s="57" t="n"/>
      <c r="CX19" s="57" t="n"/>
      <c r="CY19" s="57" t="n"/>
      <c r="CZ19" s="57" t="n"/>
      <c r="DA19" s="57" t="n"/>
      <c r="DB19" s="57" t="n"/>
      <c r="DC19" s="57" t="n"/>
      <c r="DD19" s="57" t="n"/>
      <c r="DE19" s="57" t="n"/>
      <c r="DF19" s="57" t="n"/>
      <c r="DG19" s="57" t="n"/>
      <c r="DH19" s="57" t="n"/>
      <c r="DI19" s="57" t="n"/>
      <c r="DJ19" s="57" t="n"/>
      <c r="DK19" s="57" t="n"/>
      <c r="DL19" s="57" t="n"/>
      <c r="DM19" s="57" t="n"/>
      <c r="DN19" s="57" t="n"/>
      <c r="DO19" s="57" t="n"/>
      <c r="DP19" s="57" t="n"/>
      <c r="DQ19" s="57" t="n"/>
      <c r="DR19" s="57" t="n"/>
      <c r="DS19" s="57" t="n"/>
      <c r="DT19" s="57" t="n"/>
      <c r="DU19" s="57" t="n"/>
      <c r="DV19" s="57" t="n"/>
      <c r="DW19" s="57" t="n"/>
      <c r="DX19" s="57" t="n"/>
      <c r="DY19" s="57" t="n"/>
      <c r="DZ19" s="57" t="n"/>
      <c r="EA19" s="57" t="n"/>
      <c r="EB19" s="57" t="n"/>
      <c r="EC19" s="57" t="n"/>
    </row>
    <row r="20" ht="54" customFormat="1" customHeight="1" s="48">
      <c r="A20" s="59" t="n"/>
      <c r="B20" s="60" t="n"/>
      <c r="C20" s="60" t="n"/>
      <c r="D20" s="60" t="n"/>
      <c r="E20" s="59" t="n"/>
      <c r="F20" s="59" t="n"/>
      <c r="G20" s="60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  <c r="AF20" s="57" t="n"/>
      <c r="AG20" s="57" t="n"/>
      <c r="AH20" s="57" t="n"/>
      <c r="AI20" s="57" t="n"/>
      <c r="AJ20" s="57" t="n"/>
      <c r="AK20" s="57" t="n"/>
      <c r="AL20" s="57" t="n"/>
      <c r="AM20" s="57" t="n"/>
      <c r="AN20" s="57" t="n"/>
      <c r="AO20" s="57" t="n"/>
      <c r="AP20" s="57" t="n"/>
      <c r="AQ20" s="57" t="n"/>
      <c r="AR20" s="57" t="n"/>
      <c r="AS20" s="57" t="n"/>
      <c r="AT20" s="57" t="n"/>
      <c r="AU20" s="57" t="n"/>
      <c r="AV20" s="57" t="n"/>
      <c r="AW20" s="57" t="n"/>
      <c r="AX20" s="57" t="n"/>
      <c r="AY20" s="57" t="n"/>
      <c r="AZ20" s="57" t="n"/>
      <c r="BA20" s="57" t="n"/>
      <c r="BB20" s="57" t="n"/>
      <c r="BC20" s="57" t="n"/>
      <c r="BD20" s="57" t="n"/>
      <c r="BE20" s="57" t="n"/>
      <c r="BF20" s="57" t="n"/>
      <c r="BG20" s="57" t="n"/>
      <c r="BH20" s="57" t="n"/>
      <c r="BI20" s="57" t="n"/>
      <c r="BJ20" s="57" t="n"/>
      <c r="BK20" s="57" t="n"/>
      <c r="BL20" s="57" t="n"/>
      <c r="BM20" s="57" t="n"/>
      <c r="BN20" s="57" t="n"/>
      <c r="BO20" s="57" t="n"/>
      <c r="BP20" s="57" t="n"/>
      <c r="BQ20" s="57" t="n"/>
      <c r="BR20" s="57" t="n"/>
      <c r="BS20" s="57" t="n"/>
      <c r="BT20" s="57" t="n"/>
      <c r="BU20" s="57" t="n"/>
      <c r="BV20" s="57" t="n"/>
      <c r="BW20" s="57" t="n"/>
      <c r="BX20" s="57" t="n"/>
      <c r="BY20" s="57" t="n"/>
      <c r="BZ20" s="57" t="n"/>
      <c r="CA20" s="57" t="n"/>
      <c r="CB20" s="57" t="n"/>
      <c r="CC20" s="57" t="n"/>
      <c r="CD20" s="57" t="n"/>
      <c r="CE20" s="57" t="n"/>
      <c r="CF20" s="57" t="n"/>
      <c r="CG20" s="57" t="n"/>
      <c r="CH20" s="57" t="n"/>
      <c r="CI20" s="57" t="n"/>
      <c r="CJ20" s="57" t="n"/>
      <c r="CK20" s="57" t="n"/>
      <c r="CL20" s="57" t="n"/>
      <c r="CM20" s="57" t="n"/>
      <c r="CN20" s="57" t="n"/>
      <c r="CO20" s="57" t="n"/>
      <c r="CP20" s="57" t="n"/>
      <c r="CQ20" s="57" t="n"/>
      <c r="CR20" s="57" t="n"/>
      <c r="CS20" s="57" t="n"/>
      <c r="CT20" s="57" t="n"/>
      <c r="CU20" s="57" t="n"/>
      <c r="CV20" s="57" t="n"/>
      <c r="CW20" s="57" t="n"/>
      <c r="CX20" s="57" t="n"/>
      <c r="CY20" s="57" t="n"/>
      <c r="CZ20" s="57" t="n"/>
      <c r="DA20" s="57" t="n"/>
      <c r="DB20" s="57" t="n"/>
      <c r="DC20" s="57" t="n"/>
      <c r="DD20" s="57" t="n"/>
      <c r="DE20" s="57" t="n"/>
      <c r="DF20" s="57" t="n"/>
      <c r="DG20" s="57" t="n"/>
      <c r="DH20" s="57" t="n"/>
      <c r="DI20" s="57" t="n"/>
      <c r="DJ20" s="57" t="n"/>
      <c r="DK20" s="57" t="n"/>
      <c r="DL20" s="57" t="n"/>
      <c r="DM20" s="57" t="n"/>
      <c r="DN20" s="57" t="n"/>
      <c r="DO20" s="57" t="n"/>
      <c r="DP20" s="57" t="n"/>
      <c r="DQ20" s="57" t="n"/>
      <c r="DR20" s="57" t="n"/>
      <c r="DS20" s="57" t="n"/>
      <c r="DT20" s="57" t="n"/>
      <c r="DU20" s="57" t="n"/>
      <c r="DV20" s="57" t="n"/>
      <c r="DW20" s="57" t="n"/>
      <c r="DX20" s="57" t="n"/>
      <c r="DY20" s="57" t="n"/>
      <c r="DZ20" s="57" t="n"/>
      <c r="EA20" s="57" t="n"/>
      <c r="EB20" s="57" t="n"/>
      <c r="EC20" s="57" t="n"/>
    </row>
    <row r="21" customFormat="1" s="48">
      <c r="A21" s="68" t="n"/>
      <c r="B21" s="68" t="n"/>
      <c r="C21" s="68" t="n"/>
      <c r="D21" s="68" t="n"/>
      <c r="E21" s="68" t="n"/>
      <c r="F21" s="68" t="n"/>
      <c r="G21" s="68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  <c r="AI21" s="57" t="n"/>
      <c r="AJ21" s="57" t="n"/>
      <c r="AK21" s="57" t="n"/>
      <c r="AL21" s="57" t="n"/>
      <c r="AM21" s="57" t="n"/>
      <c r="AN21" s="57" t="n"/>
      <c r="AO21" s="57" t="n"/>
      <c r="AP21" s="57" t="n"/>
      <c r="AQ21" s="57" t="n"/>
      <c r="AR21" s="57" t="n"/>
      <c r="AS21" s="57" t="n"/>
      <c r="AT21" s="57" t="n"/>
      <c r="AU21" s="57" t="n"/>
      <c r="AV21" s="57" t="n"/>
      <c r="AW21" s="57" t="n"/>
      <c r="AX21" s="57" t="n"/>
      <c r="AY21" s="57" t="n"/>
      <c r="AZ21" s="57" t="n"/>
      <c r="BA21" s="57" t="n"/>
      <c r="BB21" s="57" t="n"/>
      <c r="BC21" s="57" t="n"/>
      <c r="BD21" s="57" t="n"/>
      <c r="BE21" s="57" t="n"/>
      <c r="BF21" s="57" t="n"/>
      <c r="BG21" s="57" t="n"/>
      <c r="BH21" s="57" t="n"/>
      <c r="BI21" s="57" t="n"/>
      <c r="BJ21" s="57" t="n"/>
      <c r="BK21" s="57" t="n"/>
      <c r="BL21" s="57" t="n"/>
      <c r="BM21" s="57" t="n"/>
      <c r="BN21" s="57" t="n"/>
      <c r="BO21" s="57" t="n"/>
      <c r="BP21" s="57" t="n"/>
      <c r="BQ21" s="57" t="n"/>
      <c r="BR21" s="57" t="n"/>
      <c r="BS21" s="57" t="n"/>
      <c r="BT21" s="57" t="n"/>
      <c r="BU21" s="57" t="n"/>
      <c r="BV21" s="57" t="n"/>
      <c r="BW21" s="57" t="n"/>
      <c r="BX21" s="57" t="n"/>
      <c r="BY21" s="57" t="n"/>
      <c r="BZ21" s="57" t="n"/>
      <c r="CA21" s="57" t="n"/>
      <c r="CB21" s="57" t="n"/>
      <c r="CC21" s="57" t="n"/>
      <c r="CD21" s="57" t="n"/>
      <c r="CE21" s="57" t="n"/>
      <c r="CF21" s="57" t="n"/>
      <c r="CG21" s="57" t="n"/>
      <c r="CH21" s="57" t="n"/>
      <c r="CI21" s="57" t="n"/>
      <c r="CJ21" s="57" t="n"/>
      <c r="CK21" s="57" t="n"/>
      <c r="CL21" s="57" t="n"/>
      <c r="CM21" s="57" t="n"/>
      <c r="CN21" s="57" t="n"/>
      <c r="CO21" s="57" t="n"/>
      <c r="CP21" s="57" t="n"/>
      <c r="CQ21" s="57" t="n"/>
      <c r="CR21" s="57" t="n"/>
      <c r="CS21" s="57" t="n"/>
      <c r="CT21" s="57" t="n"/>
      <c r="CU21" s="57" t="n"/>
      <c r="CV21" s="57" t="n"/>
      <c r="CW21" s="57" t="n"/>
      <c r="CX21" s="57" t="n"/>
      <c r="CY21" s="57" t="n"/>
      <c r="CZ21" s="57" t="n"/>
      <c r="DA21" s="57" t="n"/>
      <c r="DB21" s="57" t="n"/>
      <c r="DC21" s="57" t="n"/>
      <c r="DD21" s="57" t="n"/>
      <c r="DE21" s="57" t="n"/>
      <c r="DF21" s="57" t="n"/>
      <c r="DG21" s="57" t="n"/>
      <c r="DH21" s="57" t="n"/>
      <c r="DI21" s="57" t="n"/>
      <c r="DJ21" s="57" t="n"/>
      <c r="DK21" s="57" t="n"/>
      <c r="DL21" s="57" t="n"/>
      <c r="DM21" s="57" t="n"/>
      <c r="DN21" s="57" t="n"/>
      <c r="DO21" s="57" t="n"/>
      <c r="DP21" s="57" t="n"/>
      <c r="DQ21" s="57" t="n"/>
      <c r="DR21" s="57" t="n"/>
      <c r="DS21" s="57" t="n"/>
      <c r="DT21" s="57" t="n"/>
      <c r="DU21" s="57" t="n"/>
      <c r="DV21" s="57" t="n"/>
      <c r="DW21" s="57" t="n"/>
      <c r="DX21" s="57" t="n"/>
      <c r="DY21" s="57" t="n"/>
      <c r="DZ21" s="57" t="n"/>
      <c r="EA21" s="57" t="n"/>
      <c r="EB21" s="57" t="n"/>
      <c r="EC21" s="57" t="n"/>
    </row>
    <row r="22">
      <c r="A22" s="81" t="n"/>
      <c r="E22" s="81" t="n"/>
    </row>
    <row r="23">
      <c r="A23" s="81" t="n"/>
      <c r="E23" s="81" t="n"/>
    </row>
    <row r="24">
      <c r="A24" s="81" t="n"/>
      <c r="E24" s="81" t="n"/>
    </row>
  </sheetData>
  <autoFilter ref="B1:F1"/>
  <mergeCells count="1">
    <mergeCell ref="A2:F2"/>
  </mergeCells>
  <pageMargins left="0.75" right="0.75" top="1" bottom="1" header="0.5" footer="0.5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48"/>
  <sheetViews>
    <sheetView tabSelected="1" topLeftCell="A4" workbookViewId="0">
      <selection activeCell="J13" sqref="J13"/>
    </sheetView>
  </sheetViews>
  <sheetFormatPr baseColWidth="8" defaultColWidth="11.42578125" defaultRowHeight="12.75"/>
  <cols>
    <col width="6.85546875" customWidth="1" style="75" min="1" max="1"/>
    <col width="11.7109375" customWidth="1" style="75" min="2" max="2"/>
    <col width="33.85546875" customWidth="1" style="76" min="3" max="3"/>
    <col width="21.140625" customWidth="1" style="76" min="4" max="4"/>
    <col width="10.42578125" customWidth="1" style="77" min="5" max="5"/>
    <col width="11.42578125" customWidth="1" style="77" min="6" max="12"/>
    <col width="11.42578125" customWidth="1" style="75" min="13" max="15"/>
    <col width="11.42578125" customWidth="1" style="75" min="16" max="16384"/>
  </cols>
  <sheetData>
    <row r="2" ht="43.5" customHeight="1">
      <c r="A2" s="74">
        <f>CONCATENATE("Sprint #",E5, "Tracking Sheet")</f>
        <v/>
      </c>
    </row>
    <row r="4">
      <c r="A4" s="2" t="n"/>
      <c r="C4" s="32" t="inlineStr">
        <is>
          <t>Project</t>
        </is>
      </c>
      <c r="D4" s="49" t="n"/>
      <c r="E4" s="79" t="inlineStr">
        <is>
          <t>AetherFlow</t>
        </is>
      </c>
      <c r="F4" s="82" t="n"/>
      <c r="G4" s="82" t="n"/>
      <c r="H4" s="82" t="n"/>
      <c r="I4" s="82" t="n"/>
      <c r="J4" s="83" t="n"/>
    </row>
    <row r="5">
      <c r="C5" s="11" t="inlineStr">
        <is>
          <t>Sprint #</t>
        </is>
      </c>
      <c r="D5" s="11" t="n"/>
      <c r="E5" s="22" t="n">
        <v>1</v>
      </c>
    </row>
    <row r="6">
      <c r="C6" s="11" t="inlineStr">
        <is>
          <t>Start date</t>
        </is>
      </c>
      <c r="D6" s="11" t="n"/>
      <c r="E6" s="23" t="n">
        <v>46147</v>
      </c>
    </row>
    <row r="7" ht="13.5" customHeight="1" thickBot="1">
      <c r="C7" s="3" t="n"/>
      <c r="D7" s="11" t="inlineStr">
        <is>
          <t>Total Team Members</t>
        </is>
      </c>
      <c r="E7" s="22" t="n">
        <v>5</v>
      </c>
    </row>
    <row r="8" ht="13.5" customHeight="1" thickBot="1">
      <c r="F8" s="78" t="inlineStr">
        <is>
          <t>week 1</t>
        </is>
      </c>
      <c r="G8" s="84" t="n"/>
      <c r="H8" s="84" t="n"/>
      <c r="I8" s="84" t="n"/>
      <c r="J8" s="84" t="n"/>
      <c r="K8" s="84" t="n"/>
      <c r="L8" s="85" t="n"/>
      <c r="M8" s="78" t="inlineStr">
        <is>
          <t>week 2</t>
        </is>
      </c>
      <c r="N8" s="84" t="n"/>
      <c r="O8" s="84" t="n"/>
      <c r="P8" s="84" t="n"/>
      <c r="Q8" s="84" t="n"/>
      <c r="R8" s="84" t="n"/>
      <c r="S8" s="85" t="n"/>
    </row>
    <row r="9" ht="12.75" customHeight="1" thickBot="1">
      <c r="F9" s="54" t="n">
        <v>1</v>
      </c>
      <c r="G9" s="55" t="n">
        <v>2</v>
      </c>
      <c r="H9" s="54" t="n">
        <v>3</v>
      </c>
      <c r="I9" s="55" t="n">
        <v>4</v>
      </c>
      <c r="J9" s="54" t="n">
        <v>5</v>
      </c>
      <c r="K9" s="55" t="n">
        <v>6</v>
      </c>
      <c r="L9" s="54" t="n">
        <v>7</v>
      </c>
      <c r="M9" s="55" t="n">
        <v>8</v>
      </c>
      <c r="N9" s="54" t="n">
        <v>9</v>
      </c>
      <c r="O9" s="55" t="n">
        <v>10</v>
      </c>
      <c r="P9" s="54" t="n">
        <v>11</v>
      </c>
      <c r="Q9" s="55" t="n">
        <v>12</v>
      </c>
      <c r="R9" s="54" t="n">
        <v>13</v>
      </c>
      <c r="S9" s="55" t="n">
        <v>14</v>
      </c>
    </row>
    <row r="10" ht="27" customFormat="1" customHeight="1" s="3">
      <c r="A10" s="17" t="inlineStr">
        <is>
          <t>Task ID</t>
        </is>
      </c>
      <c r="B10" s="19" t="inlineStr">
        <is>
          <t>Story ID</t>
        </is>
      </c>
      <c r="C10" s="18" t="inlineStr">
        <is>
          <t>Description</t>
        </is>
      </c>
      <c r="D10" s="50" t="inlineStr">
        <is>
          <t>Responsibility</t>
        </is>
      </c>
      <c r="E10" s="20" t="inlineStr">
        <is>
          <t>Initial estimate</t>
        </is>
      </c>
      <c r="F10" s="26">
        <f>E6</f>
        <v/>
      </c>
      <c r="G10" s="21">
        <f>F10+1</f>
        <v/>
      </c>
      <c r="H10" s="21">
        <f>G10+1</f>
        <v/>
      </c>
      <c r="I10" s="21">
        <f>H10+1</f>
        <v/>
      </c>
      <c r="J10" s="21">
        <f>I10+1</f>
        <v/>
      </c>
      <c r="K10" s="21">
        <f>J10+1</f>
        <v/>
      </c>
      <c r="L10" s="21">
        <f>K10+1</f>
        <v/>
      </c>
      <c r="M10" s="21">
        <f>L10+1</f>
        <v/>
      </c>
      <c r="N10" s="21">
        <f>M10+1</f>
        <v/>
      </c>
      <c r="O10" s="21">
        <f>N10+1</f>
        <v/>
      </c>
      <c r="P10" s="21">
        <f>O10+1</f>
        <v/>
      </c>
      <c r="Q10" s="21">
        <f>P10+1</f>
        <v/>
      </c>
      <c r="R10" s="21">
        <f>Q10+1</f>
        <v/>
      </c>
      <c r="S10" s="21">
        <f>R10+1</f>
        <v/>
      </c>
    </row>
    <row r="11" customFormat="1" s="31">
      <c r="A11" s="27" t="inlineStr">
        <is>
          <t>T101</t>
        </is>
      </c>
      <c r="B11" s="28" t="inlineStr">
        <is>
          <t>AF-102</t>
        </is>
      </c>
      <c r="C11" s="29" t="inlineStr">
        <is>
          <t>Create GitHub Repo &amp; Invite Team</t>
        </is>
      </c>
      <c r="D11" s="51" t="inlineStr">
        <is>
          <t>Daniel</t>
        </is>
      </c>
      <c r="E11" s="64" t="n">
        <v>2</v>
      </c>
      <c r="F11" s="30" t="n">
        <v>1</v>
      </c>
      <c r="G11" s="30" t="n"/>
      <c r="H11" s="30" t="n">
        <v>2</v>
      </c>
      <c r="I11" s="30" t="n"/>
      <c r="J11" s="28" t="n"/>
      <c r="K11" s="28" t="n"/>
      <c r="L11" s="28" t="n"/>
      <c r="M11" s="30" t="n"/>
      <c r="N11" s="30" t="n"/>
      <c r="O11" s="30" t="n"/>
      <c r="P11" s="30" t="n"/>
      <c r="Q11" s="28" t="n"/>
      <c r="R11" s="28" t="n"/>
      <c r="S11" s="28" t="n"/>
    </row>
    <row r="12" ht="25.5" customFormat="1" customHeight="1" s="31">
      <c r="A12" s="27" t="inlineStr">
        <is>
          <t>T102</t>
        </is>
      </c>
      <c r="B12" s="28" t="inlineStr">
        <is>
          <t>AF-101</t>
        </is>
      </c>
      <c r="C12" s="29" t="inlineStr">
        <is>
          <t>Design Encrypted SQL User Tables</t>
        </is>
      </c>
      <c r="D12" s="51" t="inlineStr">
        <is>
          <t xml:space="preserve">Nathan </t>
        </is>
      </c>
      <c r="E12" s="64" t="n">
        <v>6</v>
      </c>
      <c r="F12" s="30" t="n">
        <v>1</v>
      </c>
      <c r="G12" s="30" t="n">
        <v>2</v>
      </c>
      <c r="H12" s="30" t="n">
        <v>1</v>
      </c>
      <c r="I12" s="30" t="n">
        <v>1</v>
      </c>
      <c r="J12" s="28" t="n">
        <v>2</v>
      </c>
      <c r="K12" s="28" t="n">
        <v>1</v>
      </c>
      <c r="L12" s="28" t="n"/>
      <c r="M12" s="30" t="n"/>
      <c r="N12" s="30" t="n"/>
      <c r="O12" s="30" t="n"/>
      <c r="P12" s="30" t="n"/>
      <c r="Q12" s="28" t="n"/>
      <c r="R12" s="28" t="n"/>
      <c r="S12" s="28" t="n"/>
    </row>
    <row r="13" customFormat="1" s="31">
      <c r="A13" s="27" t="inlineStr">
        <is>
          <t>T103</t>
        </is>
      </c>
      <c r="B13" s="28" t="inlineStr">
        <is>
          <t>AF-101</t>
        </is>
      </c>
      <c r="C13" s="29" t="inlineStr">
        <is>
          <t>Code Login Screen UI (Aether Blue)</t>
        </is>
      </c>
      <c r="D13" s="51" t="inlineStr">
        <is>
          <t xml:space="preserve">Daniel </t>
        </is>
      </c>
      <c r="E13" s="64" t="n">
        <v>5</v>
      </c>
      <c r="F13" s="30" t="n"/>
      <c r="G13" s="28" t="n">
        <v>3</v>
      </c>
      <c r="H13" s="28" t="n">
        <v>2</v>
      </c>
      <c r="I13" s="28" t="n"/>
      <c r="J13" s="28" t="n"/>
      <c r="K13" s="28" t="n"/>
      <c r="L13" s="28" t="n"/>
      <c r="M13" s="30" t="n"/>
      <c r="N13" s="28" t="n"/>
      <c r="O13" s="28" t="n"/>
      <c r="P13" s="28" t="n"/>
      <c r="Q13" s="28" t="n"/>
      <c r="R13" s="28" t="n"/>
      <c r="S13" s="28" t="n"/>
    </row>
    <row r="14" customFormat="1" s="31">
      <c r="A14" s="27" t="inlineStr">
        <is>
          <t>T104</t>
        </is>
      </c>
      <c r="B14" s="28" t="inlineStr">
        <is>
          <t>AF-101</t>
        </is>
      </c>
      <c r="C14" s="29" t="inlineStr">
        <is>
          <t>Implement JWT/Password Hashing</t>
        </is>
      </c>
      <c r="D14" s="51" t="inlineStr">
        <is>
          <t>Nathan</t>
        </is>
      </c>
      <c r="E14" s="64" t="n">
        <v>5</v>
      </c>
      <c r="F14" s="30" t="n">
        <v>0</v>
      </c>
      <c r="G14" s="28" t="n">
        <v>1</v>
      </c>
      <c r="H14" s="28" t="n">
        <v>1</v>
      </c>
      <c r="I14" s="28" t="n">
        <v>2</v>
      </c>
      <c r="J14" s="28" t="n">
        <v>1</v>
      </c>
      <c r="K14" s="28" t="n">
        <v>1</v>
      </c>
      <c r="L14" s="28" t="n"/>
      <c r="M14" s="30" t="n"/>
      <c r="N14" s="28" t="n"/>
      <c r="O14" s="28" t="n"/>
      <c r="P14" s="28" t="n"/>
      <c r="Q14" s="28" t="n"/>
      <c r="R14" s="28" t="n"/>
      <c r="S14" s="28" t="n"/>
    </row>
    <row r="15" customFormat="1" s="31">
      <c r="A15" s="27" t="inlineStr">
        <is>
          <t>T105</t>
        </is>
      </c>
      <c r="B15" s="28" t="inlineStr">
        <is>
          <t>AF-104</t>
        </is>
      </c>
      <c r="C15" s="29" t="inlineStr">
        <is>
          <t>Map User Stories to Personas</t>
        </is>
      </c>
      <c r="D15" s="51" t="inlineStr">
        <is>
          <t xml:space="preserve">Jesus </t>
        </is>
      </c>
      <c r="E15" s="64" t="n">
        <v>4</v>
      </c>
      <c r="F15" s="30" t="n"/>
      <c r="G15" s="28" t="n"/>
      <c r="H15" s="28" t="n"/>
      <c r="I15" s="28" t="n"/>
      <c r="J15" s="28" t="n"/>
      <c r="K15" s="28" t="n"/>
      <c r="L15" s="28" t="n"/>
      <c r="M15" s="30" t="n"/>
      <c r="N15" s="28" t="n"/>
      <c r="O15" s="28" t="n"/>
      <c r="P15" s="28" t="n"/>
      <c r="Q15" s="28" t="n"/>
      <c r="R15" s="28" t="n"/>
      <c r="S15" s="28" t="n"/>
    </row>
    <row r="16" ht="25.5" customFormat="1" customHeight="1" s="31">
      <c r="A16" s="27" t="inlineStr">
        <is>
          <t>T106</t>
        </is>
      </c>
      <c r="B16" s="28" t="inlineStr">
        <is>
          <t>AF-106</t>
        </is>
      </c>
      <c r="C16" s="29" t="inlineStr">
        <is>
          <t>Draft Security Test Plan for login system</t>
        </is>
      </c>
      <c r="D16" s="51" t="inlineStr">
        <is>
          <t>Garrett</t>
        </is>
      </c>
      <c r="E16" s="64" t="n">
        <v>2</v>
      </c>
      <c r="F16" s="30" t="n"/>
      <c r="G16" s="28" t="n"/>
      <c r="H16" s="28" t="n"/>
      <c r="I16" s="28" t="n"/>
      <c r="J16" s="28" t="n"/>
      <c r="K16" s="28" t="n"/>
      <c r="L16" s="28" t="n"/>
      <c r="M16" s="30" t="n"/>
      <c r="N16" s="28" t="n"/>
      <c r="O16" s="28" t="n"/>
      <c r="P16" s="28" t="n"/>
      <c r="Q16" s="28" t="n"/>
      <c r="R16" s="28" t="n"/>
      <c r="S16" s="28" t="n"/>
    </row>
    <row r="17" customFormat="1" s="8">
      <c r="A17" s="27" t="inlineStr">
        <is>
          <t>T107</t>
        </is>
      </c>
      <c r="B17" s="28" t="inlineStr">
        <is>
          <t>AF-101</t>
        </is>
      </c>
      <c r="C17" s="61" t="inlineStr">
        <is>
          <t>Initialize Kanban/Sprint Board</t>
        </is>
      </c>
      <c r="D17" s="63" t="inlineStr">
        <is>
          <t>Nathan</t>
        </is>
      </c>
      <c r="E17" s="64" t="n">
        <v>6</v>
      </c>
      <c r="F17" s="30" t="n">
        <v>1</v>
      </c>
      <c r="G17" s="24" t="n">
        <v>2</v>
      </c>
      <c r="H17" s="24" t="n">
        <v>2</v>
      </c>
      <c r="I17" s="24" t="n">
        <v>1</v>
      </c>
      <c r="J17" s="24" t="n">
        <v>1</v>
      </c>
      <c r="K17" s="24" t="n">
        <v>1</v>
      </c>
      <c r="L17" s="24" t="n"/>
      <c r="M17" s="30" t="n"/>
      <c r="N17" s="24" t="n"/>
      <c r="O17" s="24" t="n"/>
      <c r="P17" s="24" t="n"/>
      <c r="Q17" s="24" t="n"/>
      <c r="R17" s="24" t="n"/>
      <c r="S17" s="24" t="n"/>
    </row>
    <row r="18" ht="13.5" customFormat="1" customHeight="1" s="8" thickBot="1">
      <c r="A18" s="56" t="inlineStr">
        <is>
          <t>T108</t>
        </is>
      </c>
      <c r="B18" s="69" t="inlineStr">
        <is>
          <t>AF-101</t>
        </is>
      </c>
      <c r="C18" s="62" t="inlineStr">
        <is>
          <t>Test invalid login handeling</t>
        </is>
      </c>
      <c r="D18" s="62" t="inlineStr">
        <is>
          <t>Garrett</t>
        </is>
      </c>
      <c r="E18" s="65" t="n">
        <v>2</v>
      </c>
      <c r="F18" s="56" t="n"/>
      <c r="G18" s="25" t="n"/>
      <c r="H18" s="25" t="n"/>
      <c r="I18" s="25" t="n"/>
      <c r="J18" s="25" t="n"/>
      <c r="K18" s="25" t="n"/>
      <c r="L18" s="25" t="n"/>
      <c r="M18" s="56" t="n"/>
      <c r="N18" s="25" t="n"/>
      <c r="O18" s="25" t="n"/>
      <c r="P18" s="25" t="n"/>
      <c r="Q18" s="25" t="n"/>
      <c r="R18" s="25" t="n"/>
      <c r="S18" s="25" t="n"/>
    </row>
    <row r="19" ht="25.5" customHeight="1">
      <c r="A19" s="27" t="inlineStr">
        <is>
          <t>T109</t>
        </is>
      </c>
      <c r="B19" s="28" t="inlineStr">
        <is>
          <t>AF-101</t>
        </is>
      </c>
      <c r="C19" s="61" t="inlineStr">
        <is>
          <t>Verify password validation requirements</t>
        </is>
      </c>
      <c r="D19" s="63" t="inlineStr">
        <is>
          <t>Garrett</t>
        </is>
      </c>
      <c r="E19" s="64" t="n">
        <v>2</v>
      </c>
      <c r="F19" s="30" t="n"/>
      <c r="G19" s="24" t="n"/>
      <c r="H19" s="24" t="n"/>
      <c r="I19" s="24" t="n"/>
      <c r="J19" s="24" t="n"/>
      <c r="K19" s="24" t="n"/>
      <c r="L19" s="24" t="n"/>
      <c r="M19" s="30" t="n"/>
      <c r="N19" s="24" t="n"/>
      <c r="O19" s="24" t="n"/>
      <c r="P19" s="24" t="n"/>
      <c r="Q19" s="24" t="n"/>
      <c r="R19" s="24" t="n"/>
      <c r="S19" s="24" t="n"/>
    </row>
    <row r="20" ht="26.25" customHeight="1" thickBot="1">
      <c r="A20" s="56" t="inlineStr">
        <is>
          <t>T110</t>
        </is>
      </c>
      <c r="B20" s="69" t="inlineStr">
        <is>
          <t>AF-102</t>
        </is>
      </c>
      <c r="C20" s="62" t="inlineStr">
        <is>
          <t>Review ISBN/SKU validation requiremnts</t>
        </is>
      </c>
      <c r="D20" s="62" t="inlineStr">
        <is>
          <t>Garrett</t>
        </is>
      </c>
      <c r="E20" s="65" t="n">
        <v>3</v>
      </c>
      <c r="F20" s="56" t="n"/>
      <c r="G20" s="25" t="n"/>
      <c r="H20" s="25" t="n"/>
      <c r="I20" s="25" t="n"/>
      <c r="J20" s="25" t="n"/>
      <c r="K20" s="25" t="n"/>
      <c r="L20" s="25" t="n"/>
      <c r="M20" s="56" t="n"/>
      <c r="N20" s="25" t="n"/>
      <c r="O20" s="25" t="n"/>
      <c r="P20" s="25" t="n"/>
      <c r="Q20" s="25" t="n"/>
      <c r="R20" s="25" t="n"/>
      <c r="S20" s="25" t="n"/>
    </row>
    <row r="21">
      <c r="A21" s="27" t="inlineStr">
        <is>
          <t>T111</t>
        </is>
      </c>
      <c r="B21" s="28" t="inlineStr">
        <is>
          <t>AF-102</t>
        </is>
      </c>
      <c r="C21" s="61" t="inlineStr">
        <is>
          <t>Test duplicate SKU rejection handeling</t>
        </is>
      </c>
      <c r="D21" s="63" t="inlineStr">
        <is>
          <t>Garrett</t>
        </is>
      </c>
      <c r="E21" s="64" t="n">
        <v>2</v>
      </c>
      <c r="F21" s="30" t="n"/>
      <c r="G21" s="24" t="n"/>
      <c r="H21" s="24" t="n"/>
      <c r="I21" s="24" t="n"/>
      <c r="J21" s="24" t="n"/>
      <c r="K21" s="24" t="n"/>
      <c r="L21" s="24" t="n"/>
      <c r="M21" s="30" t="n"/>
      <c r="N21" s="24" t="n"/>
      <c r="O21" s="24" t="n"/>
      <c r="P21" s="24" t="n"/>
      <c r="Q21" s="24" t="n"/>
      <c r="R21" s="24" t="n"/>
      <c r="S21" s="24" t="n"/>
    </row>
    <row r="22" ht="13.5" customHeight="1" thickBot="1">
      <c r="A22" s="56" t="inlineStr">
        <is>
          <t>T112</t>
        </is>
      </c>
      <c r="B22" s="69" t="inlineStr">
        <is>
          <t>AF-101</t>
        </is>
      </c>
      <c r="C22" s="62" t="inlineStr">
        <is>
          <t xml:space="preserve"> Verify role-based access permissions</t>
        </is>
      </c>
      <c r="D22" s="62" t="inlineStr">
        <is>
          <t>Garrett</t>
        </is>
      </c>
      <c r="E22" s="65" t="n">
        <v>2</v>
      </c>
      <c r="F22" s="56" t="n"/>
      <c r="G22" s="25" t="n"/>
      <c r="H22" s="25" t="n"/>
      <c r="I22" s="25" t="n"/>
      <c r="J22" s="25" t="n"/>
      <c r="K22" s="25" t="n"/>
      <c r="L22" s="25" t="n"/>
      <c r="M22" s="56" t="n"/>
      <c r="N22" s="25" t="n"/>
      <c r="O22" s="25" t="n"/>
      <c r="P22" s="25" t="n"/>
      <c r="Q22" s="25" t="n"/>
      <c r="R22" s="25" t="n"/>
      <c r="S22" s="25" t="n"/>
    </row>
    <row r="23" ht="13.5" customHeight="1" thickBot="1">
      <c r="A23" s="56" t="inlineStr">
        <is>
          <t>T113</t>
        </is>
      </c>
      <c r="B23" s="69" t="inlineStr">
        <is>
          <t>AF-101</t>
        </is>
      </c>
      <c r="C23" s="62" t="inlineStr">
        <is>
          <t>Document bugs and validation results</t>
        </is>
      </c>
      <c r="D23" s="62" t="inlineStr">
        <is>
          <t>Garrett</t>
        </is>
      </c>
      <c r="E23" s="65" t="n">
        <v>1</v>
      </c>
      <c r="F23" s="56" t="n"/>
      <c r="G23" s="25" t="n"/>
      <c r="H23" s="25" t="n"/>
      <c r="I23" s="25" t="n"/>
      <c r="J23" s="25" t="n"/>
      <c r="K23" s="25" t="n"/>
      <c r="L23" s="25" t="n"/>
      <c r="M23" s="56" t="n"/>
      <c r="N23" s="25" t="n"/>
      <c r="O23" s="25" t="n"/>
      <c r="P23" s="25" t="n"/>
      <c r="Q23" s="25" t="n"/>
      <c r="R23" s="25" t="n"/>
      <c r="S23" s="25" t="n"/>
    </row>
    <row r="24">
      <c r="C24" s="12" t="inlineStr">
        <is>
          <t>Remaining units (actual)</t>
        </is>
      </c>
      <c r="D24" s="52" t="n"/>
      <c r="E24" s="80" t="n">
        <v>42</v>
      </c>
      <c r="F24" s="9">
        <f>IF(SUM(F11:F23)&gt;0,E24-SUM(F11:F23),NA())</f>
        <v/>
      </c>
      <c r="G24" s="9">
        <f>IF(SUM(G11:G23)&gt;0,E24-SUM(F11:G23),NA())</f>
        <v/>
      </c>
      <c r="H24" s="9">
        <f>IF(SUM(H11:H23)&gt;0,F24-SUM(G11:H23),NA())</f>
        <v/>
      </c>
      <c r="I24" s="9">
        <f>IF(SUM(I11:I23)&gt;0,E24-SUM(F11:I23),NA())</f>
        <v/>
      </c>
      <c r="J24" s="9">
        <f>IF(SUM(J11:J23)&gt;0,E24-SUM(F11:J23),NA())</f>
        <v/>
      </c>
      <c r="K24" s="9">
        <f>IF(SUM(K11:K23)&gt;0,E24-SUM(F11:K23),NA())</f>
        <v/>
      </c>
      <c r="L24" s="9">
        <f>IF(SUM(L11:L23)&gt;0,E24-SUM(F11:L23),NA())</f>
        <v/>
      </c>
      <c r="M24" s="9">
        <f>IF(SUM(M11:M23)&gt;0,E24-SUM(F11:M23),NA())</f>
        <v/>
      </c>
      <c r="N24" s="9">
        <f>IF(SUM(N11:N23)&gt;0,E24-SUM(F11:N23),NA())</f>
        <v/>
      </c>
      <c r="O24" s="9">
        <f>IF(SUM(O11:O23)&gt;0,E24-SUM(F11:O23),NA())</f>
        <v/>
      </c>
      <c r="P24" s="9">
        <f>IF(SUM(P11:P23)&gt;0,E24-SUM(F11:P23),NA())</f>
        <v/>
      </c>
      <c r="Q24" s="9">
        <f>IF(SUM(Q11:Q23)&gt;0,E24-SUM(F11:Q23),NA())</f>
        <v/>
      </c>
      <c r="R24" s="9">
        <f>IF(SUM(R11:R23)&gt;0,E24-SUM(F11:R23),NA())</f>
        <v/>
      </c>
      <c r="S24" s="9">
        <f>IF(SUM(S11:S23)&gt;0,E24-SUM(F11:S23),NA())</f>
        <v/>
      </c>
    </row>
    <row r="25">
      <c r="C25" s="12" t="inlineStr">
        <is>
          <t>Remaining units (ideal)</t>
        </is>
      </c>
      <c r="D25" s="53" t="n"/>
      <c r="E25" s="86" t="n"/>
      <c r="F25" s="10">
        <f>E24-(E24/14)</f>
        <v/>
      </c>
      <c r="G25" s="10">
        <f>F25-(E24/14)</f>
        <v/>
      </c>
      <c r="H25" s="10">
        <f>G25-(E24/14)</f>
        <v/>
      </c>
      <c r="I25" s="10">
        <f>H25-(E24/14)</f>
        <v/>
      </c>
      <c r="J25" s="10">
        <f>I25-(E24/14)</f>
        <v/>
      </c>
      <c r="K25" s="10">
        <f>J25-(E24/14)</f>
        <v/>
      </c>
      <c r="L25" s="10">
        <f>K25-(E24/14)</f>
        <v/>
      </c>
      <c r="M25" s="10">
        <f>L25-(E24/14)</f>
        <v/>
      </c>
      <c r="N25" s="10">
        <f>M25-(E24/14)</f>
        <v/>
      </c>
      <c r="O25" s="10">
        <f>N25-(E24/14)</f>
        <v/>
      </c>
      <c r="P25" s="10">
        <f>O25-(E24/14)</f>
        <v/>
      </c>
      <c r="Q25" s="10">
        <f>P25-(E24/14)</f>
        <v/>
      </c>
      <c r="R25" s="10">
        <f>Q25-(E24/14)</f>
        <v/>
      </c>
      <c r="S25" s="10">
        <f>R25-(E24/14)</f>
        <v/>
      </c>
    </row>
    <row r="26">
      <c r="M26" s="77" t="n"/>
      <c r="N26" s="77" t="n"/>
      <c r="O26" s="77" t="n"/>
      <c r="P26" s="77" t="n"/>
      <c r="Q26" s="77" t="n"/>
      <c r="R26" s="77" t="n"/>
      <c r="S26" s="77" t="n"/>
    </row>
    <row r="27">
      <c r="M27" s="77" t="n"/>
      <c r="N27" s="77" t="n"/>
      <c r="O27" s="77" t="n"/>
      <c r="P27" s="77" t="n"/>
      <c r="Q27" s="77" t="n"/>
      <c r="R27" s="77" t="n"/>
      <c r="S27" s="77" t="n"/>
    </row>
    <row r="28">
      <c r="M28" s="77" t="n"/>
      <c r="N28" s="77" t="n"/>
      <c r="O28" s="77" t="n"/>
      <c r="P28" s="77" t="n"/>
      <c r="Q28" s="77" t="n"/>
      <c r="R28" s="77" t="n"/>
      <c r="S28" s="77" t="n"/>
    </row>
    <row r="29">
      <c r="M29" s="77" t="n"/>
      <c r="N29" s="77" t="n"/>
      <c r="O29" s="77" t="n"/>
      <c r="P29" s="77" t="n"/>
      <c r="Q29" s="77" t="n"/>
      <c r="R29" s="77" t="n"/>
      <c r="S29" s="77" t="n"/>
    </row>
    <row r="30">
      <c r="K30" s="7" t="n">
        <v>0</v>
      </c>
      <c r="L30" s="77">
        <f>SUM(E11:E19)</f>
        <v/>
      </c>
      <c r="M30" s="77" t="n"/>
      <c r="N30" s="77" t="n"/>
      <c r="O30" s="77" t="n"/>
      <c r="P30" s="77" t="n"/>
      <c r="Q30" s="77" t="n"/>
      <c r="R30" s="7" t="n">
        <v>0</v>
      </c>
      <c r="S30" s="77" t="n"/>
    </row>
    <row r="31">
      <c r="K31" s="7" t="n">
        <v>10</v>
      </c>
      <c r="L31" s="7" t="n">
        <v>0</v>
      </c>
      <c r="M31" s="77" t="n"/>
      <c r="N31" s="77" t="n"/>
      <c r="O31" s="77" t="n"/>
      <c r="P31" s="77" t="n"/>
      <c r="Q31" s="77" t="n"/>
      <c r="R31" s="7" t="n">
        <v>10</v>
      </c>
      <c r="S31" s="7" t="n"/>
    </row>
    <row r="32">
      <c r="M32" s="77" t="n"/>
      <c r="N32" s="77" t="n"/>
      <c r="O32" s="77" t="n"/>
      <c r="P32" s="77" t="n"/>
      <c r="Q32" s="77" t="n"/>
      <c r="R32" s="77" t="n"/>
      <c r="S32" s="77" t="n"/>
    </row>
    <row r="33">
      <c r="M33" s="77" t="n"/>
      <c r="N33" s="77" t="n"/>
      <c r="O33" s="77" t="n"/>
      <c r="P33" s="77" t="n"/>
      <c r="Q33" s="77" t="n"/>
      <c r="R33" s="77" t="n"/>
      <c r="S33" s="77" t="n"/>
    </row>
    <row r="34">
      <c r="M34" s="77" t="n"/>
      <c r="N34" s="77" t="n"/>
      <c r="O34" s="77" t="n"/>
      <c r="P34" s="77" t="n"/>
      <c r="Q34" s="77" t="n"/>
      <c r="R34" s="77" t="n"/>
      <c r="S34" s="77" t="n"/>
    </row>
    <row r="35">
      <c r="M35" s="77" t="n"/>
      <c r="N35" s="77" t="n"/>
      <c r="O35" s="77" t="n"/>
      <c r="P35" s="77" t="n"/>
      <c r="Q35" s="77" t="n"/>
      <c r="R35" s="77" t="n"/>
      <c r="S35" s="77" t="n"/>
    </row>
    <row r="36">
      <c r="M36" s="77" t="n"/>
      <c r="N36" s="77" t="n"/>
      <c r="O36" s="77" t="n"/>
      <c r="P36" s="77" t="n"/>
      <c r="Q36" s="77" t="n"/>
      <c r="R36" s="77" t="n"/>
      <c r="S36" s="77" t="n"/>
    </row>
    <row r="37">
      <c r="M37" s="77" t="n"/>
      <c r="N37" s="77" t="n"/>
      <c r="O37" s="77" t="n"/>
      <c r="P37" s="77" t="n"/>
      <c r="Q37" s="77" t="n"/>
      <c r="R37" s="77" t="n"/>
      <c r="S37" s="77" t="n"/>
    </row>
    <row r="38">
      <c r="M38" s="77" t="n"/>
      <c r="N38" s="77" t="n"/>
      <c r="O38" s="77" t="n"/>
      <c r="P38" s="77" t="n"/>
      <c r="Q38" s="77" t="n"/>
      <c r="R38" s="77" t="n"/>
      <c r="S38" s="77" t="n"/>
    </row>
    <row r="39">
      <c r="M39" s="77" t="n"/>
      <c r="N39" s="77" t="n"/>
      <c r="O39" s="77" t="n"/>
      <c r="P39" s="77" t="n"/>
      <c r="Q39" s="77" t="n"/>
      <c r="R39" s="77" t="n"/>
      <c r="S39" s="77" t="n"/>
    </row>
    <row r="40">
      <c r="M40" s="77" t="n"/>
      <c r="N40" s="77" t="n"/>
      <c r="O40" s="77" t="n"/>
      <c r="P40" s="77" t="n"/>
      <c r="Q40" s="77" t="n"/>
      <c r="R40" s="77" t="n"/>
      <c r="S40" s="77" t="n"/>
    </row>
    <row r="41">
      <c r="M41" s="77" t="n"/>
      <c r="N41" s="77" t="n"/>
      <c r="O41" s="77" t="n"/>
      <c r="P41" s="77" t="n"/>
      <c r="Q41" s="77" t="n"/>
      <c r="R41" s="77" t="n"/>
      <c r="S41" s="77" t="n"/>
    </row>
    <row r="42">
      <c r="M42" s="77" t="n"/>
      <c r="N42" s="77" t="n"/>
      <c r="O42" s="77" t="n"/>
      <c r="P42" s="77" t="n"/>
      <c r="Q42" s="77" t="n"/>
      <c r="R42" s="77" t="n"/>
      <c r="S42" s="77" t="n"/>
    </row>
    <row r="43">
      <c r="M43" s="77" t="n"/>
      <c r="N43" s="77" t="n"/>
      <c r="O43" s="77" t="n"/>
      <c r="P43" s="77" t="n"/>
      <c r="Q43" s="77" t="n"/>
      <c r="R43" s="77" t="n"/>
      <c r="S43" s="77" t="n"/>
    </row>
    <row r="44">
      <c r="M44" s="77" t="n"/>
      <c r="N44" s="77" t="n"/>
      <c r="O44" s="77" t="n"/>
      <c r="P44" s="77" t="n"/>
      <c r="Q44" s="77" t="n"/>
      <c r="R44" s="77" t="n"/>
      <c r="S44" s="77" t="n"/>
    </row>
    <row r="45">
      <c r="M45" s="77" t="n"/>
      <c r="N45" s="77" t="n"/>
      <c r="O45" s="77" t="n"/>
      <c r="P45" s="77" t="n"/>
      <c r="Q45" s="77" t="n"/>
      <c r="R45" s="77" t="n"/>
      <c r="S45" s="77" t="n"/>
    </row>
    <row r="46">
      <c r="M46" s="77" t="n"/>
      <c r="N46" s="77" t="n"/>
      <c r="O46" s="77" t="n"/>
      <c r="P46" s="77" t="n"/>
      <c r="Q46" s="77" t="n"/>
      <c r="R46" s="77" t="n"/>
      <c r="S46" s="77" t="n"/>
    </row>
    <row r="47">
      <c r="M47" s="77" t="n"/>
      <c r="N47" s="77" t="n"/>
      <c r="O47" s="77" t="n"/>
      <c r="P47" s="77" t="n"/>
      <c r="Q47" s="77" t="n"/>
      <c r="R47" s="77" t="n"/>
      <c r="S47" s="77" t="n"/>
    </row>
    <row r="48">
      <c r="M48" s="77" t="n"/>
      <c r="N48" s="77" t="n"/>
      <c r="O48" s="77" t="n"/>
      <c r="P48" s="77" t="n"/>
      <c r="Q48" s="77" t="n"/>
      <c r="R48" s="77" t="n"/>
      <c r="S48" s="77" t="n"/>
    </row>
  </sheetData>
  <autoFilter ref="A10:E10"/>
  <mergeCells count="5">
    <mergeCell ref="A2:L2"/>
    <mergeCell ref="F8:L8"/>
    <mergeCell ref="M8:S8"/>
    <mergeCell ref="E4:J4"/>
    <mergeCell ref="E24:E2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48"/>
  <sheetViews>
    <sheetView workbookViewId="0">
      <selection activeCell="E4" sqref="E4:J4"/>
    </sheetView>
  </sheetViews>
  <sheetFormatPr baseColWidth="8" defaultColWidth="11.42578125" defaultRowHeight="12.75"/>
  <cols>
    <col width="6.85546875" customWidth="1" style="75" min="1" max="2"/>
    <col width="33.85546875" customWidth="1" style="76" min="3" max="3"/>
    <col width="21.140625" customWidth="1" style="76" min="4" max="4"/>
    <col width="10.42578125" customWidth="1" style="77" min="5" max="5"/>
    <col width="11.42578125" customWidth="1" style="77" min="6" max="12"/>
    <col width="11.42578125" customWidth="1" style="75" min="13" max="15"/>
    <col width="11.42578125" customWidth="1" style="75" min="16" max="16384"/>
  </cols>
  <sheetData>
    <row r="2" ht="43.5" customHeight="1">
      <c r="A2" s="74">
        <f>CONCATENATE("Sprint #",E5, "Tracking Sheet")</f>
        <v/>
      </c>
    </row>
    <row r="4">
      <c r="A4" s="2" t="n"/>
      <c r="C4" s="32" t="inlineStr">
        <is>
          <t>Project</t>
        </is>
      </c>
      <c r="D4" s="49" t="n"/>
      <c r="E4" s="79" t="n"/>
      <c r="F4" s="82" t="n"/>
      <c r="G4" s="82" t="n"/>
      <c r="H4" s="82" t="n"/>
      <c r="I4" s="82" t="n"/>
      <c r="J4" s="83" t="n"/>
    </row>
    <row r="5">
      <c r="C5" s="11" t="inlineStr">
        <is>
          <t>Sprint #</t>
        </is>
      </c>
      <c r="D5" s="11" t="n"/>
      <c r="E5" s="22" t="n">
        <v>2</v>
      </c>
    </row>
    <row r="6">
      <c r="C6" s="11" t="inlineStr">
        <is>
          <t>Start date</t>
        </is>
      </c>
      <c r="D6" s="11" t="n"/>
      <c r="E6" s="23" t="n"/>
    </row>
    <row r="7" ht="13.5" customHeight="1" thickBot="1">
      <c r="C7" s="3" t="n"/>
      <c r="D7" s="11" t="inlineStr">
        <is>
          <t>Total Team Members</t>
        </is>
      </c>
      <c r="E7" s="22" t="inlineStr">
        <is>
          <t>TBD</t>
        </is>
      </c>
    </row>
    <row r="8" ht="13.5" customHeight="1" thickBot="1">
      <c r="F8" s="78" t="inlineStr">
        <is>
          <t>week 1</t>
        </is>
      </c>
      <c r="G8" s="84" t="n"/>
      <c r="H8" s="84" t="n"/>
      <c r="I8" s="84" t="n"/>
      <c r="J8" s="84" t="n"/>
      <c r="K8" s="84" t="n"/>
      <c r="L8" s="85" t="n"/>
      <c r="M8" s="78" t="inlineStr">
        <is>
          <t>week 2</t>
        </is>
      </c>
      <c r="N8" s="84" t="n"/>
      <c r="O8" s="84" t="n"/>
      <c r="P8" s="84" t="n"/>
      <c r="Q8" s="84" t="n"/>
      <c r="R8" s="84" t="n"/>
      <c r="S8" s="85" t="n"/>
    </row>
    <row r="9" ht="12.75" customHeight="1" thickBot="1">
      <c r="F9" s="54" t="n">
        <v>1</v>
      </c>
      <c r="G9" s="55" t="n">
        <v>2</v>
      </c>
      <c r="H9" s="54" t="n">
        <v>3</v>
      </c>
      <c r="I9" s="55" t="n">
        <v>4</v>
      </c>
      <c r="J9" s="54" t="n">
        <v>5</v>
      </c>
      <c r="K9" s="55" t="n">
        <v>6</v>
      </c>
      <c r="L9" s="54" t="n">
        <v>7</v>
      </c>
      <c r="M9" s="55" t="n">
        <v>8</v>
      </c>
      <c r="N9" s="54" t="n">
        <v>9</v>
      </c>
      <c r="O9" s="55" t="n">
        <v>10</v>
      </c>
      <c r="P9" s="54" t="n">
        <v>11</v>
      </c>
      <c r="Q9" s="55" t="n">
        <v>12</v>
      </c>
      <c r="R9" s="54" t="n">
        <v>13</v>
      </c>
      <c r="S9" s="55" t="n">
        <v>14</v>
      </c>
    </row>
    <row r="10" ht="27" customFormat="1" customHeight="1" s="3">
      <c r="A10" s="87" t="inlineStr">
        <is>
          <t>Task ID</t>
        </is>
      </c>
      <c r="B10" s="88" t="inlineStr">
        <is>
          <t>Story ID</t>
        </is>
      </c>
      <c r="C10" s="89" t="inlineStr">
        <is>
          <t>Description</t>
        </is>
      </c>
      <c r="D10" s="90" t="inlineStr">
        <is>
          <t>Responsibility</t>
        </is>
      </c>
      <c r="E10" s="91" t="inlineStr">
        <is>
          <t>Initial estimate</t>
        </is>
      </c>
      <c r="F10" s="92">
        <f>E6</f>
        <v/>
      </c>
      <c r="G10" s="93">
        <f>F10+1</f>
        <v/>
      </c>
      <c r="H10" s="93">
        <f>G10+1</f>
        <v/>
      </c>
      <c r="I10" s="93">
        <f>H10+1</f>
        <v/>
      </c>
      <c r="J10" s="93">
        <f>I10+1</f>
        <v/>
      </c>
      <c r="K10" s="93">
        <f>J10+1</f>
        <v/>
      </c>
      <c r="L10" s="93">
        <f>K10+1</f>
        <v/>
      </c>
      <c r="M10" s="93">
        <f>L10+1</f>
        <v/>
      </c>
      <c r="N10" s="93">
        <f>M10+1</f>
        <v/>
      </c>
      <c r="O10" s="93">
        <f>N10+1</f>
        <v/>
      </c>
      <c r="P10" s="93">
        <f>O10+1</f>
        <v/>
      </c>
      <c r="Q10" s="93">
        <f>P10+1</f>
        <v/>
      </c>
      <c r="R10" s="93">
        <f>Q10+1</f>
        <v/>
      </c>
      <c r="S10" s="93">
        <f>R10+1</f>
        <v/>
      </c>
    </row>
    <row r="11" customFormat="1" s="31">
      <c r="A11" s="27" t="inlineStr">
        <is>
          <t>T201</t>
        </is>
      </c>
      <c r="B11" s="28" t="inlineStr">
        <is>
          <t>AF-101</t>
        </is>
      </c>
      <c r="C11" s="29" t="inlineStr">
        <is>
          <t>Re-test invalid login handling after backend implementation</t>
        </is>
      </c>
      <c r="D11" s="51" t="inlineStr">
        <is>
          <t>Garrett</t>
        </is>
      </c>
      <c r="E11" s="64" t="n">
        <v>2</v>
      </c>
      <c r="F11" s="30" t="n"/>
      <c r="G11" s="30" t="n"/>
      <c r="H11" s="30" t="n"/>
      <c r="I11" s="30" t="n"/>
      <c r="J11" s="28" t="n"/>
      <c r="K11" s="28" t="n"/>
      <c r="L11" s="28" t="n"/>
      <c r="M11" s="30" t="n"/>
      <c r="N11" s="30" t="n"/>
      <c r="O11" s="30" t="n"/>
      <c r="P11" s="30" t="n"/>
      <c r="Q11" s="28" t="n"/>
      <c r="R11" s="28" t="n"/>
      <c r="S11" s="28" t="n"/>
    </row>
    <row r="12" customFormat="1" s="31">
      <c r="A12" s="27" t="inlineStr">
        <is>
          <t>T202</t>
        </is>
      </c>
      <c r="B12" s="28" t="inlineStr">
        <is>
          <t>AF-101</t>
        </is>
      </c>
      <c r="C12" s="29" t="inlineStr">
        <is>
          <t>Verify password validation enforcement</t>
        </is>
      </c>
      <c r="D12" s="51" t="inlineStr">
        <is>
          <t>Garrett</t>
        </is>
      </c>
      <c r="E12" s="64" t="n">
        <v>2</v>
      </c>
      <c r="F12" s="30" t="n"/>
      <c r="G12" s="30" t="n"/>
      <c r="H12" s="30" t="n"/>
      <c r="I12" s="30" t="n"/>
      <c r="J12" s="28" t="n"/>
      <c r="K12" s="28" t="n"/>
      <c r="L12" s="28" t="n"/>
      <c r="M12" s="30" t="n"/>
      <c r="N12" s="30" t="n"/>
      <c r="O12" s="30" t="n"/>
      <c r="P12" s="30" t="n"/>
      <c r="Q12" s="28" t="n"/>
      <c r="R12" s="28" t="n"/>
      <c r="S12" s="28" t="n"/>
    </row>
    <row r="13" customFormat="1" s="31">
      <c r="A13" s="27" t="inlineStr">
        <is>
          <t>T203</t>
        </is>
      </c>
      <c r="B13" s="28" t="inlineStr">
        <is>
          <t>AF-101</t>
        </is>
      </c>
      <c r="C13" s="29" t="inlineStr">
        <is>
          <t>Verify role-based access permissions</t>
        </is>
      </c>
      <c r="D13" s="51" t="inlineStr">
        <is>
          <t>Garrett</t>
        </is>
      </c>
      <c r="E13" s="64" t="n">
        <v>2</v>
      </c>
      <c r="F13" s="30" t="n"/>
      <c r="G13" s="28" t="n"/>
      <c r="H13" s="28" t="n"/>
      <c r="I13" s="28" t="n"/>
      <c r="J13" s="28" t="n"/>
      <c r="K13" s="28" t="n"/>
      <c r="L13" s="28" t="n"/>
      <c r="M13" s="30" t="n"/>
      <c r="N13" s="28" t="n"/>
      <c r="O13" s="28" t="n"/>
      <c r="P13" s="28" t="n"/>
      <c r="Q13" s="28" t="n"/>
      <c r="R13" s="28" t="n"/>
      <c r="S13" s="28" t="n"/>
    </row>
    <row r="14" customFormat="1" s="31">
      <c r="A14" s="27" t="inlineStr">
        <is>
          <t>T204</t>
        </is>
      </c>
      <c r="B14" s="28" t="inlineStr">
        <is>
          <t>AF-102</t>
        </is>
      </c>
      <c r="C14" s="29" t="inlineStr">
        <is>
          <t>Test duplicate SKU rejection logic</t>
        </is>
      </c>
      <c r="D14" s="51" t="inlineStr">
        <is>
          <t>Garrett</t>
        </is>
      </c>
      <c r="E14" s="64" t="n">
        <v>2</v>
      </c>
      <c r="F14" s="30" t="n"/>
      <c r="G14" s="28" t="n"/>
      <c r="H14" s="28" t="n"/>
      <c r="I14" s="28" t="n"/>
      <c r="J14" s="28" t="n"/>
      <c r="K14" s="28" t="n"/>
      <c r="L14" s="28" t="n"/>
      <c r="M14" s="30" t="n"/>
      <c r="N14" s="28" t="n"/>
      <c r="O14" s="28" t="n"/>
      <c r="P14" s="28" t="n"/>
      <c r="Q14" s="28" t="n"/>
      <c r="R14" s="28" t="n"/>
      <c r="S14" s="28" t="n"/>
    </row>
    <row r="15" customFormat="1" s="31">
      <c r="A15" s="27" t="inlineStr">
        <is>
          <t>T205</t>
        </is>
      </c>
      <c r="B15" s="28" t="inlineStr">
        <is>
          <t>AF-102</t>
        </is>
      </c>
      <c r="C15" s="29" t="inlineStr">
        <is>
          <t>Validate SKU format requirements</t>
        </is>
      </c>
      <c r="D15" s="51" t="inlineStr">
        <is>
          <t>Garrett</t>
        </is>
      </c>
      <c r="E15" s="64" t="n">
        <v>2</v>
      </c>
      <c r="F15" s="30" t="n"/>
      <c r="G15" s="28" t="n"/>
      <c r="H15" s="28" t="n"/>
      <c r="I15" s="28" t="n"/>
      <c r="J15" s="28" t="n"/>
      <c r="K15" s="28" t="n"/>
      <c r="L15" s="28" t="n"/>
      <c r="M15" s="30" t="n"/>
      <c r="N15" s="28" t="n"/>
      <c r="O15" s="28" t="n"/>
      <c r="P15" s="28" t="n"/>
      <c r="Q15" s="28" t="n"/>
      <c r="R15" s="28" t="n"/>
      <c r="S15" s="28" t="n"/>
    </row>
    <row r="16" customFormat="1" s="31">
      <c r="A16" s="27" t="inlineStr">
        <is>
          <t>T206</t>
        </is>
      </c>
      <c r="B16" s="28" t="inlineStr">
        <is>
          <t>AF-103</t>
        </is>
      </c>
      <c r="C16" s="29" t="inlineStr">
        <is>
          <t>Test inventory search functionality</t>
        </is>
      </c>
      <c r="D16" s="51" t="inlineStr">
        <is>
          <t>Garrett</t>
        </is>
      </c>
      <c r="E16" s="64" t="n">
        <v>3</v>
      </c>
      <c r="F16" s="30" t="n"/>
      <c r="G16" s="28" t="n"/>
      <c r="H16" s="28" t="n"/>
      <c r="I16" s="28" t="n"/>
      <c r="J16" s="28" t="n"/>
      <c r="K16" s="28" t="n"/>
      <c r="L16" s="28" t="n"/>
      <c r="M16" s="30" t="n"/>
      <c r="N16" s="28" t="n"/>
      <c r="O16" s="28" t="n"/>
      <c r="P16" s="28" t="n"/>
      <c r="Q16" s="28" t="n"/>
      <c r="R16" s="28" t="n"/>
      <c r="S16" s="28" t="n"/>
    </row>
    <row r="17" customFormat="1" s="8">
      <c r="A17" s="27" t="inlineStr">
        <is>
          <t>T207</t>
        </is>
      </c>
      <c r="B17" s="28" t="inlineStr">
        <is>
          <t>AF-105</t>
        </is>
      </c>
      <c r="C17" s="61" t="inlineStr">
        <is>
          <t>Verify low-stock warning alerts</t>
        </is>
      </c>
      <c r="D17" s="63" t="inlineStr">
        <is>
          <t>Garrett</t>
        </is>
      </c>
      <c r="E17" s="64" t="n">
        <v>2</v>
      </c>
      <c r="F17" s="30" t="n"/>
      <c r="G17" s="24" t="n"/>
      <c r="H17" s="24" t="n"/>
      <c r="I17" s="24" t="n"/>
      <c r="J17" s="24" t="n"/>
      <c r="K17" s="24" t="n"/>
      <c r="L17" s="24" t="n"/>
      <c r="M17" s="30" t="n"/>
      <c r="N17" s="24" t="n"/>
      <c r="O17" s="24" t="n"/>
      <c r="P17" s="24" t="n"/>
      <c r="Q17" s="24" t="n"/>
      <c r="R17" s="24" t="n"/>
      <c r="S17" s="24" t="n"/>
    </row>
    <row r="18" ht="13.5" customFormat="1" customHeight="1" s="8" thickBot="1">
      <c r="A18" s="56" t="inlineStr">
        <is>
          <t>T208</t>
        </is>
      </c>
      <c r="B18" s="69" t="inlineStr">
        <is>
          <t>AF-104</t>
        </is>
      </c>
      <c r="C18" s="62" t="inlineStr">
        <is>
          <t>Document Sprint 2 QA validation results</t>
        </is>
      </c>
      <c r="D18" s="62" t="inlineStr">
        <is>
          <t>Garrett</t>
        </is>
      </c>
      <c r="E18" s="65" t="n">
        <v>1</v>
      </c>
      <c r="F18" s="56" t="n"/>
      <c r="G18" s="25" t="n"/>
      <c r="H18" s="25" t="n"/>
      <c r="I18" s="25" t="n"/>
      <c r="J18" s="25" t="n"/>
      <c r="K18" s="25" t="n"/>
      <c r="L18" s="25" t="n"/>
      <c r="M18" s="56" t="n"/>
      <c r="N18" s="25" t="n"/>
      <c r="O18" s="25" t="n"/>
      <c r="P18" s="25" t="n"/>
      <c r="Q18" s="25" t="n"/>
      <c r="R18" s="25" t="n"/>
      <c r="S18" s="25" t="n"/>
    </row>
    <row r="19">
      <c r="A19" s="2" t="inlineStr">
        <is>
          <t>T209</t>
        </is>
      </c>
      <c r="B19" s="2" t="inlineStr">
        <is>
          <t>AF-101</t>
        </is>
      </c>
      <c r="C19" t="inlineStr">
        <is>
          <t>Verify Security Key masking functionality</t>
        </is>
      </c>
      <c r="D19" t="inlineStr">
        <is>
          <t>Garrett</t>
        </is>
      </c>
      <c r="E19" t="n">
        <v>1</v>
      </c>
      <c r="M19" s="77" t="n"/>
      <c r="N19" s="77" t="n"/>
      <c r="O19" s="77" t="n"/>
      <c r="P19" s="77" t="n"/>
      <c r="Q19" s="77" t="n"/>
      <c r="R19" s="77" t="n"/>
      <c r="S19" s="77" t="n"/>
    </row>
    <row r="20">
      <c r="A20" s="2" t="inlineStr">
        <is>
          <t>T210</t>
        </is>
      </c>
      <c r="B20" s="2" t="inlineStr">
        <is>
          <t>AF-101</t>
        </is>
      </c>
      <c r="C20" t="inlineStr">
        <is>
          <t>Verify mobile responsiveness on live Vercel deployment</t>
        </is>
      </c>
      <c r="D20" t="inlineStr">
        <is>
          <t>Garrett</t>
        </is>
      </c>
      <c r="E20" t="n">
        <v>2</v>
      </c>
      <c r="M20" s="77" t="n"/>
      <c r="N20" s="77" t="n"/>
      <c r="O20" s="77" t="n"/>
      <c r="P20" s="77" t="n"/>
      <c r="Q20" s="77" t="n"/>
      <c r="R20" s="77" t="n"/>
      <c r="S20" s="77" t="n"/>
    </row>
    <row r="21">
      <c r="A21" s="2" t="n"/>
      <c r="B21" s="2" t="n"/>
      <c r="M21" s="77" t="n"/>
      <c r="N21" s="77" t="n"/>
      <c r="O21" s="77" t="n"/>
      <c r="P21" s="77" t="n"/>
      <c r="Q21" s="77" t="n"/>
      <c r="R21" s="77" t="n"/>
      <c r="S21" s="77" t="n"/>
    </row>
    <row r="22">
      <c r="A22" s="2" t="n"/>
      <c r="B22" s="2" t="n"/>
      <c r="M22" s="77" t="n"/>
      <c r="N22" s="77" t="n"/>
      <c r="O22" s="77" t="n"/>
      <c r="P22" s="77" t="n"/>
      <c r="Q22" s="77" t="n"/>
      <c r="R22" s="77" t="n"/>
      <c r="S22" s="77" t="n"/>
    </row>
    <row r="23">
      <c r="A23" s="2" t="n"/>
      <c r="B23" s="2" t="n"/>
      <c r="M23" s="77" t="n"/>
      <c r="N23" s="77" t="n"/>
      <c r="O23" s="77" t="n"/>
      <c r="P23" s="77" t="n"/>
      <c r="Q23" s="77" t="n"/>
      <c r="R23" s="77" t="n"/>
      <c r="S23" s="77" t="n"/>
    </row>
    <row r="24">
      <c r="C24" s="12" t="inlineStr">
        <is>
          <t>Remaining units (actual)</t>
        </is>
      </c>
      <c r="D24" s="52" t="n"/>
      <c r="E24" s="80">
        <f>8*2*E7</f>
        <v/>
      </c>
      <c r="F24" s="9">
        <f>IF(SUM(F11:F23)&gt;0,E24-SUM(F11:F23),NA())</f>
        <v/>
      </c>
      <c r="G24" s="9">
        <f>IF(SUM(G11:G23)&gt;0,E24-SUM(F11:G23),NA())</f>
        <v/>
      </c>
      <c r="H24" s="9">
        <f>IF(SUM(H11:H23)&gt;0,F24-SUM(G11:H23),NA())</f>
        <v/>
      </c>
      <c r="I24" s="9">
        <f>IF(SUM(I11:I23)&gt;0,E24-SUM(F11:I23),NA())</f>
        <v/>
      </c>
      <c r="J24" s="9">
        <f>IF(SUM(J11:J23)&gt;0,E24-SUM(F11:J23),NA())</f>
        <v/>
      </c>
      <c r="K24" s="9">
        <f>IF(SUM(K11:K23)&gt;0,E24-SUM(F11:K23),NA())</f>
        <v/>
      </c>
      <c r="L24" s="9">
        <f>IF(SUM(L11:L23)&gt;0,E24-SUM(F11:L23),NA())</f>
        <v/>
      </c>
      <c r="M24" s="9">
        <f>IF(SUM(M11:M23)&gt;0,E24-SUM(F11:M23),NA())</f>
        <v/>
      </c>
      <c r="N24" s="9">
        <f>IF(SUM(N11:N23)&gt;0,E24-SUM(F11:N23),NA())</f>
        <v/>
      </c>
      <c r="O24" s="9">
        <f>IF(SUM(O11:O23)&gt;0,E24-SUM(F11:O23),NA())</f>
        <v/>
      </c>
      <c r="P24" s="9">
        <f>IF(SUM(P11:P23)&gt;0,E24-SUM(F11:P23),NA())</f>
        <v/>
      </c>
      <c r="Q24" s="9">
        <f>IF(SUM(Q11:Q23)&gt;0,E24-SUM(F11:Q23),NA())</f>
        <v/>
      </c>
      <c r="R24" s="9">
        <f>IF(SUM(R11:R23)&gt;0,E24-SUM(F11:R23),NA())</f>
        <v/>
      </c>
      <c r="S24" s="9">
        <f>IF(SUM(S11:S23)&gt;0,E24-SUM(F11:S23),NA())</f>
        <v/>
      </c>
    </row>
    <row r="25">
      <c r="C25" s="12" t="inlineStr">
        <is>
          <t>Remaining units (ideal)</t>
        </is>
      </c>
      <c r="D25" s="53" t="n"/>
      <c r="E25" s="86" t="n"/>
      <c r="F25" s="10">
        <f>E24-(E24/14)</f>
        <v/>
      </c>
      <c r="G25" s="10">
        <f>F25-(E24/14)</f>
        <v/>
      </c>
      <c r="H25" s="10">
        <f>G25-(E24/14)</f>
        <v/>
      </c>
      <c r="I25" s="10">
        <f>H25-(E24/14)</f>
        <v/>
      </c>
      <c r="J25" s="10">
        <f>I25-(E24/14)</f>
        <v/>
      </c>
      <c r="K25" s="10">
        <f>J25-(E24/14)</f>
        <v/>
      </c>
      <c r="L25" s="10">
        <f>K25-(E24/14)</f>
        <v/>
      </c>
      <c r="M25" s="10">
        <f>L25-(E24/14)</f>
        <v/>
      </c>
      <c r="N25" s="10">
        <f>M25-(E24/14)</f>
        <v/>
      </c>
      <c r="O25" s="10">
        <f>N25-(E24/14)</f>
        <v/>
      </c>
      <c r="P25" s="10">
        <f>O25-(E24/14)</f>
        <v/>
      </c>
      <c r="Q25" s="10">
        <f>P25-(E24/14)</f>
        <v/>
      </c>
      <c r="R25" s="10">
        <f>Q25-(E24/14)</f>
        <v/>
      </c>
      <c r="S25" s="10">
        <f>R25-(E24/14)</f>
        <v/>
      </c>
    </row>
    <row r="26">
      <c r="M26" s="77" t="n"/>
      <c r="N26" s="77" t="n"/>
      <c r="O26" s="77" t="n"/>
      <c r="P26" s="77" t="n"/>
      <c r="Q26" s="77" t="n"/>
      <c r="R26" s="77" t="n"/>
      <c r="S26" s="77" t="n"/>
    </row>
    <row r="27">
      <c r="M27" s="77" t="n"/>
      <c r="N27" s="77" t="n"/>
      <c r="O27" s="77" t="n"/>
      <c r="P27" s="77" t="n"/>
      <c r="Q27" s="77" t="n"/>
      <c r="R27" s="77" t="n"/>
      <c r="S27" s="77" t="n"/>
    </row>
    <row r="28">
      <c r="M28" s="77" t="n"/>
      <c r="N28" s="77" t="n"/>
      <c r="O28" s="77" t="n"/>
      <c r="P28" s="77" t="n"/>
      <c r="Q28" s="77" t="n"/>
      <c r="R28" s="77" t="n"/>
      <c r="S28" s="77" t="n"/>
    </row>
    <row r="29">
      <c r="M29" s="77" t="n"/>
      <c r="N29" s="77" t="n"/>
      <c r="O29" s="77" t="n"/>
      <c r="P29" s="77" t="n"/>
      <c r="Q29" s="77" t="n"/>
      <c r="R29" s="77" t="n"/>
      <c r="S29" s="77" t="n"/>
    </row>
    <row r="30">
      <c r="K30" s="7" t="n">
        <v>0</v>
      </c>
      <c r="L30" s="77">
        <f>SUM(E11:E19)</f>
        <v/>
      </c>
      <c r="M30" s="77" t="n"/>
      <c r="N30" s="77" t="n"/>
      <c r="O30" s="77" t="n"/>
      <c r="P30" s="77" t="n"/>
      <c r="Q30" s="77" t="n"/>
      <c r="R30" s="7" t="n">
        <v>0</v>
      </c>
      <c r="S30" s="77">
        <f>SUM(L11:L19)</f>
        <v/>
      </c>
    </row>
    <row r="31">
      <c r="K31" s="7" t="n">
        <v>10</v>
      </c>
      <c r="L31" s="7" t="n">
        <v>0</v>
      </c>
      <c r="M31" s="77" t="n"/>
      <c r="N31" s="77" t="n"/>
      <c r="O31" s="77" t="n"/>
      <c r="P31" s="77" t="n"/>
      <c r="Q31" s="77" t="n"/>
      <c r="R31" s="7" t="n">
        <v>10</v>
      </c>
      <c r="S31" s="7" t="n">
        <v>0</v>
      </c>
    </row>
    <row r="32">
      <c r="M32" s="77" t="n"/>
      <c r="N32" s="77" t="n"/>
      <c r="O32" s="77" t="n"/>
      <c r="P32" s="77" t="n"/>
      <c r="Q32" s="77" t="n"/>
      <c r="R32" s="77" t="n"/>
      <c r="S32" s="77" t="n"/>
    </row>
    <row r="33">
      <c r="M33" s="77" t="n"/>
      <c r="N33" s="77" t="n"/>
      <c r="O33" s="77" t="n"/>
      <c r="P33" s="77" t="n"/>
      <c r="Q33" s="77" t="n"/>
      <c r="R33" s="77" t="n"/>
      <c r="S33" s="77" t="n"/>
    </row>
    <row r="34">
      <c r="M34" s="77" t="n"/>
      <c r="N34" s="77" t="n"/>
      <c r="O34" s="77" t="n"/>
      <c r="P34" s="77" t="n"/>
      <c r="Q34" s="77" t="n"/>
      <c r="R34" s="77" t="n"/>
      <c r="S34" s="77" t="n"/>
    </row>
    <row r="35">
      <c r="M35" s="77" t="n"/>
      <c r="N35" s="77" t="n"/>
      <c r="O35" s="77" t="n"/>
      <c r="P35" s="77" t="n"/>
      <c r="Q35" s="77" t="n"/>
      <c r="R35" s="77" t="n"/>
      <c r="S35" s="77" t="n"/>
    </row>
    <row r="36">
      <c r="M36" s="77" t="n"/>
      <c r="N36" s="77" t="n"/>
      <c r="O36" s="77" t="n"/>
      <c r="P36" s="77" t="n"/>
      <c r="Q36" s="77" t="n"/>
      <c r="R36" s="77" t="n"/>
      <c r="S36" s="77" t="n"/>
    </row>
    <row r="37">
      <c r="M37" s="77" t="n"/>
      <c r="N37" s="77" t="n"/>
      <c r="O37" s="77" t="n"/>
      <c r="P37" s="77" t="n"/>
      <c r="Q37" s="77" t="n"/>
      <c r="R37" s="77" t="n"/>
      <c r="S37" s="77" t="n"/>
    </row>
    <row r="38">
      <c r="M38" s="77" t="n"/>
      <c r="N38" s="77" t="n"/>
      <c r="O38" s="77" t="n"/>
      <c r="P38" s="77" t="n"/>
      <c r="Q38" s="77" t="n"/>
      <c r="R38" s="77" t="n"/>
      <c r="S38" s="77" t="n"/>
    </row>
    <row r="39">
      <c r="M39" s="77" t="n"/>
      <c r="N39" s="77" t="n"/>
      <c r="O39" s="77" t="n"/>
      <c r="P39" s="77" t="n"/>
      <c r="Q39" s="77" t="n"/>
      <c r="R39" s="77" t="n"/>
      <c r="S39" s="77" t="n"/>
    </row>
    <row r="40">
      <c r="M40" s="77" t="n"/>
      <c r="N40" s="77" t="n"/>
      <c r="O40" s="77" t="n"/>
      <c r="P40" s="77" t="n"/>
      <c r="Q40" s="77" t="n"/>
      <c r="R40" s="77" t="n"/>
      <c r="S40" s="77" t="n"/>
    </row>
    <row r="41">
      <c r="M41" s="77" t="n"/>
      <c r="N41" s="77" t="n"/>
      <c r="O41" s="77" t="n"/>
      <c r="P41" s="77" t="n"/>
      <c r="Q41" s="77" t="n"/>
      <c r="R41" s="77" t="n"/>
      <c r="S41" s="77" t="n"/>
    </row>
    <row r="42">
      <c r="M42" s="77" t="n"/>
      <c r="N42" s="77" t="n"/>
      <c r="O42" s="77" t="n"/>
      <c r="P42" s="77" t="n"/>
      <c r="Q42" s="77" t="n"/>
      <c r="R42" s="77" t="n"/>
      <c r="S42" s="77" t="n"/>
    </row>
    <row r="43">
      <c r="M43" s="77" t="n"/>
      <c r="N43" s="77" t="n"/>
      <c r="O43" s="77" t="n"/>
      <c r="P43" s="77" t="n"/>
      <c r="Q43" s="77" t="n"/>
      <c r="R43" s="77" t="n"/>
      <c r="S43" s="77" t="n"/>
    </row>
    <row r="44">
      <c r="M44" s="77" t="n"/>
      <c r="N44" s="77" t="n"/>
      <c r="O44" s="77" t="n"/>
      <c r="P44" s="77" t="n"/>
      <c r="Q44" s="77" t="n"/>
      <c r="R44" s="77" t="n"/>
      <c r="S44" s="77" t="n"/>
    </row>
    <row r="45">
      <c r="M45" s="77" t="n"/>
      <c r="N45" s="77" t="n"/>
      <c r="O45" s="77" t="n"/>
      <c r="P45" s="77" t="n"/>
      <c r="Q45" s="77" t="n"/>
      <c r="R45" s="77" t="n"/>
      <c r="S45" s="77" t="n"/>
    </row>
    <row r="46">
      <c r="M46" s="77" t="n"/>
      <c r="N46" s="77" t="n"/>
      <c r="O46" s="77" t="n"/>
      <c r="P46" s="77" t="n"/>
      <c r="Q46" s="77" t="n"/>
      <c r="R46" s="77" t="n"/>
      <c r="S46" s="77" t="n"/>
    </row>
    <row r="47">
      <c r="M47" s="77" t="n"/>
      <c r="N47" s="77" t="n"/>
      <c r="O47" s="77" t="n"/>
      <c r="P47" s="77" t="n"/>
      <c r="Q47" s="77" t="n"/>
      <c r="R47" s="77" t="n"/>
      <c r="S47" s="77" t="n"/>
    </row>
    <row r="48">
      <c r="M48" s="77" t="n"/>
      <c r="N48" s="77" t="n"/>
      <c r="O48" s="77" t="n"/>
      <c r="P48" s="77" t="n"/>
      <c r="Q48" s="77" t="n"/>
      <c r="R48" s="77" t="n"/>
      <c r="S48" s="77" t="n"/>
    </row>
  </sheetData>
  <autoFilter ref="A10:E10"/>
  <mergeCells count="5">
    <mergeCell ref="A2:L2"/>
    <mergeCell ref="F8:L8"/>
    <mergeCell ref="M8:S8"/>
    <mergeCell ref="E4:J4"/>
    <mergeCell ref="E24:E25"/>
  </mergeCells>
  <conditionalFormatting sqref="F20:S20">
    <cfRule type="cellIs" priority="1" operator="lessThan" dxfId="1" stopIfTrue="1">
      <formula>F21</formula>
    </cfRule>
    <cfRule type="cellIs" priority="2" operator="greaterThan" dxfId="0" stopIfTrue="1">
      <formula>F21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Olivier Gérardin</dc:creator>
  <dcterms:created xmlns:dcterms="http://purl.org/dc/terms/" xmlns:xsi="http://www.w3.org/2001/XMLSchema-instance" xsi:type="dcterms:W3CDTF">2009-04-30T08:53:36Z</dcterms:created>
  <dcterms:modified xmlns:dcterms="http://purl.org/dc/terms/" xmlns:xsi="http://www.w3.org/2001/XMLSchema-instance" xsi:type="dcterms:W3CDTF">2026-05-14T03:59:49Z</dcterms:modified>
  <cp:lastModifiedBy>Daniel.Rhoads8</cp:lastModifiedBy>
</cp:coreProperties>
</file>