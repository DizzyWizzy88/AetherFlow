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tha\Documents\Downloads\"/>
    </mc:Choice>
  </mc:AlternateContent>
  <xr:revisionPtr revIDLastSave="0" documentId="8_{0705FD99-1ECE-4690-874A-D92E6FDE8F7F}" xr6:coauthVersionLast="47" xr6:coauthVersionMax="47" xr10:uidLastSave="{00000000-0000-0000-0000-000000000000}"/>
  <bookViews>
    <workbookView xWindow="-120" yWindow="-120" windowWidth="29040" windowHeight="15720" firstSheet="2" activeTab="3" xr2:uid="{00000000-000D-0000-FFFF-FFFF00000000}"/>
  </bookViews>
  <sheets>
    <sheet name="Introduction" sheetId="1" r:id="rId1"/>
    <sheet name="Product backlog" sheetId="2" r:id="rId2"/>
    <sheet name="Sprint 1" sheetId="3" r:id="rId3"/>
    <sheet name="Sprint 2" sheetId="4" r:id="rId4"/>
  </sheets>
  <definedNames>
    <definedName name="_xlnm._FilterDatabase" localSheetId="1" hidden="1">'Product backlog'!$B$1:$F$1</definedName>
    <definedName name="_xlnm._FilterDatabase" localSheetId="2" hidden="1">'Sprint 1'!$A$10:$E$10</definedName>
    <definedName name="_xlnm._FilterDatabase" localSheetId="3" hidden="1">'Sprint 2'!$A$10:$E$10</definedName>
    <definedName name="Z_988818D5_2AEF_4A9A_A55E_18240173EC63_.wvu.FilterData" localSheetId="1" hidden="1">'Product backlog'!$A$10:$F$10</definedName>
    <definedName name="Z_988818D5_2AEF_4A9A_A55E_18240173EC63_.wvu.FilterData" localSheetId="2" hidden="1">'Sprint 1'!$A$10:$E$10</definedName>
    <definedName name="Z_988818D5_2AEF_4A9A_A55E_18240173EC63_.wvu.FilterData" localSheetId="3" hidden="1">'Sprint 2'!$A$10:$E$10</definedName>
    <definedName name="Z_AF9CDD9E_3CB3_EE48_8887_F1090B6AE042_.wvu.FilterData" localSheetId="1" hidden="1">'Product backlog'!$A$10:$F$10</definedName>
    <definedName name="Z_AF9CDD9E_3CB3_EE48_8887_F1090B6AE042_.wvu.FilterData" localSheetId="2" hidden="1">'Sprint 1'!$A$10:$E$10</definedName>
    <definedName name="Z_AF9CDD9E_3CB3_EE48_8887_F1090B6AE042_.wvu.FilterData" localSheetId="3" hidden="1">'Sprint 2'!$A$10:$E$10</definedName>
    <definedName name="Z_F117AA09_D9DE_4D2E_A2DF_77AB3D7617C3_.wvu.FilterData" localSheetId="1" hidden="1">'Product backlog'!$A$10:$F$10</definedName>
    <definedName name="Z_F117AA09_D9DE_4D2E_A2DF_77AB3D7617C3_.wvu.FilterData" localSheetId="2" hidden="1">'Sprint 1'!$A$10:$E$10</definedName>
    <definedName name="Z_F117AA09_D9DE_4D2E_A2DF_77AB3D7617C3_.wvu.FilterData" localSheetId="3" hidden="1">'Sprint 2'!$A$10:$E$10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" i="4" l="1"/>
  <c r="L30" i="4"/>
  <c r="S24" i="4"/>
  <c r="R24" i="4"/>
  <c r="Q24" i="4"/>
  <c r="P24" i="4"/>
  <c r="O24" i="4"/>
  <c r="N24" i="4"/>
  <c r="M24" i="4"/>
  <c r="L24" i="4"/>
  <c r="K24" i="4"/>
  <c r="J24" i="4"/>
  <c r="I24" i="4"/>
  <c r="G24" i="4"/>
  <c r="F24" i="4"/>
  <c r="H24" i="4" s="1"/>
  <c r="E24" i="4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G10" i="4"/>
  <c r="H10" i="4" s="1"/>
  <c r="I10" i="4" s="1"/>
  <c r="J10" i="4" s="1"/>
  <c r="K10" i="4" s="1"/>
  <c r="L10" i="4" s="1"/>
  <c r="M10" i="4" s="1"/>
  <c r="N10" i="4" s="1"/>
  <c r="O10" i="4" s="1"/>
  <c r="P10" i="4" s="1"/>
  <c r="Q10" i="4" s="1"/>
  <c r="R10" i="4" s="1"/>
  <c r="S10" i="4" s="1"/>
  <c r="F10" i="4"/>
  <c r="A2" i="4"/>
  <c r="L30" i="3"/>
  <c r="G25" i="3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F25" i="3"/>
  <c r="S24" i="3"/>
  <c r="R24" i="3"/>
  <c r="Q24" i="3"/>
  <c r="P24" i="3"/>
  <c r="O24" i="3"/>
  <c r="N24" i="3"/>
  <c r="M24" i="3"/>
  <c r="L24" i="3"/>
  <c r="K24" i="3"/>
  <c r="J24" i="3"/>
  <c r="I24" i="3"/>
  <c r="G24" i="3"/>
  <c r="F24" i="3"/>
  <c r="H24" i="3" s="1"/>
  <c r="F10" i="3"/>
  <c r="G10" i="3" s="1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A2" i="3"/>
</calcChain>
</file>

<file path=xl/sharedStrings.xml><?xml version="1.0" encoding="utf-8"?>
<sst xmlns="http://schemas.openxmlformats.org/spreadsheetml/2006/main" count="144" uniqueCount="101">
  <si>
    <t>Aether Flow</t>
  </si>
  <si>
    <t>What is this?</t>
  </si>
  <si>
    <t>This workbook is meant to help manage and piroritize the user stories and features using scrum.</t>
  </si>
  <si>
    <t>How to use and read this document?</t>
  </si>
  <si>
    <t xml:space="preserve">Before project start: The product owner is responsible for managing and maintaining the product backlog of user stories. </t>
  </si>
  <si>
    <t>Before each sprint: The vendor will break down the user stories into tasks.</t>
  </si>
  <si>
    <t>Notes</t>
  </si>
  <si>
    <t>Cells that you can edit have a blue background.</t>
  </si>
  <si>
    <t>Sprints are assumed to be 2 weeks long (10 working days)</t>
  </si>
  <si>
    <t>Licence</t>
  </si>
  <si>
    <t>This work is licensed under a Creative Commons Attribution-Share Alike 3.0 Unported License.</t>
  </si>
  <si>
    <t>Origins</t>
  </si>
  <si>
    <t>This work is inspired by the Scrum Template published by Nicolas Martignole on his "Touilleur Express" blog. Adapted by Olivier Gérardin.</t>
  </si>
  <si>
    <t>Organizations</t>
  </si>
  <si>
    <t>CS492 Team Project</t>
  </si>
  <si>
    <t>Project</t>
  </si>
  <si>
    <t>AetherFlow</t>
  </si>
  <si>
    <t>UI/UX Specialist &amp; Lead</t>
  </si>
  <si>
    <t>Daniel Rhoades</t>
  </si>
  <si>
    <t>Scrum Master (Project Coordinator)</t>
  </si>
  <si>
    <t>Alex Johnston</t>
  </si>
  <si>
    <t>Logic Architect (Backend)</t>
  </si>
  <si>
    <t>Nathan Nied</t>
  </si>
  <si>
    <t>Detail-Oriented Tester (QA)</t>
  </si>
  <si>
    <t>Garrett Lassalle</t>
  </si>
  <si>
    <t xml:space="preserve"> Story ID</t>
  </si>
  <si>
    <t>Title</t>
  </si>
  <si>
    <t>Description</t>
  </si>
  <si>
    <t>Acceptance Criteria</t>
  </si>
  <si>
    <t>Priority #</t>
  </si>
  <si>
    <t>Sprint #</t>
  </si>
  <si>
    <t>Responsibility</t>
  </si>
  <si>
    <t>AF-101</t>
  </si>
  <si>
    <t>Secure User Login</t>
  </si>
  <si>
    <t>As a Warehouse Manager, I want to login with encrypted credentials so that only authorized personnel can access the inventory.</t>
  </si>
  <si>
    <t xml:space="preserve">Password hashing implemented; HTTPS encryption active; System blocks unauthorized login attempts. </t>
  </si>
  <si>
    <t>AF-102</t>
  </si>
  <si>
    <t>Cloud Repository &amp; Version Control</t>
  </si>
  <si>
    <t>As a Developer, I want a centralized cloud repository so that the team can collaborate concurrently and maintain version control.</t>
  </si>
  <si>
    <t>GitHub repo initialized; Standard folder structure; Vercel/Hosting connected for deployment.</t>
  </si>
  <si>
    <t>AF-103</t>
  </si>
  <si>
    <t>Real-Time Inventory Search by SKU/Name</t>
  </si>
  <si>
    <t>As a Staff Member, I want to search items by SKU or Name so I can verify stock levels in real-time.</t>
  </si>
  <si>
    <t>Results return in &lt; 2 seconds; Search supports partial SKU matching; Filters by category.</t>
  </si>
  <si>
    <t>AF-104</t>
  </si>
  <si>
    <t>Stock Adjustment Audit Log</t>
  </si>
  <si>
    <t>As an Administrator, I want to see a log of all stock adjustments so that we have an operational record of changes.</t>
  </si>
  <si>
    <t>Log entries include User ID and Timestamp; Data is stored in a read-only format for non-admins.</t>
  </si>
  <si>
    <t xml:space="preserve">Nathan Nied </t>
  </si>
  <si>
    <t>AF-105</t>
  </si>
  <si>
    <t>Low-Stock Visual Alert</t>
  </si>
  <si>
    <t>As a Manager, I want a visual warning when stock is below 10 units so I know when to reorder goods.</t>
  </si>
  <si>
    <t>UI turns Alert Crimson (#D50000) for low stock; Alert triggers automatically upon quantity change.</t>
  </si>
  <si>
    <t>AF-106</t>
  </si>
  <si>
    <t xml:space="preserve"> Add New Item to Inventory Catalog</t>
  </si>
  <si>
    <t>As a Staff Member, I want to add new items to the catalog so the inventory reflects current warehouse holdings.</t>
  </si>
  <si>
    <t>New SKUs saved to SQL database; Data validation ensures ISBN/SKU format is correct.</t>
  </si>
  <si>
    <t>Nathan Nied &amp; Garrett Lassalle</t>
  </si>
  <si>
    <t>Start date</t>
  </si>
  <si>
    <t>Total Team Members</t>
  </si>
  <si>
    <t>week 1</t>
  </si>
  <si>
    <t>week 2</t>
  </si>
  <si>
    <t>Task ID</t>
  </si>
  <si>
    <t>Story ID</t>
  </si>
  <si>
    <t>Initial estimate</t>
  </si>
  <si>
    <t>T101</t>
  </si>
  <si>
    <t>Create GitHub Repo &amp; Invite Team</t>
  </si>
  <si>
    <t>Daniel</t>
  </si>
  <si>
    <t>T102</t>
  </si>
  <si>
    <t>Design Encrypted SQL User Tables</t>
  </si>
  <si>
    <t xml:space="preserve">Nathan </t>
  </si>
  <si>
    <t>T103</t>
  </si>
  <si>
    <t>Code Login Screen UI (Aether Blue)</t>
  </si>
  <si>
    <t xml:space="preserve">Daniel </t>
  </si>
  <si>
    <t>T104</t>
  </si>
  <si>
    <t>Implement JWT/Password Hashing</t>
  </si>
  <si>
    <t>Nathan</t>
  </si>
  <si>
    <t>T105</t>
  </si>
  <si>
    <t>Map User Stories to Personas</t>
  </si>
  <si>
    <t xml:space="preserve">Jesus </t>
  </si>
  <si>
    <t>T106</t>
  </si>
  <si>
    <t>Draft Security Test Plan for login system</t>
  </si>
  <si>
    <t>Garrett</t>
  </si>
  <si>
    <t>T107</t>
  </si>
  <si>
    <t>Initialize Kanban/Sprint Board</t>
  </si>
  <si>
    <t>Alex</t>
  </si>
  <si>
    <t>T108</t>
  </si>
  <si>
    <t>Test invalid login handeling</t>
  </si>
  <si>
    <t>T109</t>
  </si>
  <si>
    <t>Verify password validation requirements</t>
  </si>
  <si>
    <t>T110</t>
  </si>
  <si>
    <t>Review ISBN/SKU validation requiremnts</t>
  </si>
  <si>
    <t>T111</t>
  </si>
  <si>
    <t>Test duplicate SKU rejection handeling</t>
  </si>
  <si>
    <t>T112</t>
  </si>
  <si>
    <t xml:space="preserve"> Verify role-based access permissions</t>
  </si>
  <si>
    <t>T113</t>
  </si>
  <si>
    <t>Document bugs and validation results</t>
  </si>
  <si>
    <t>Remaining units (actual)</t>
  </si>
  <si>
    <t>Remaining units (ideal)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</si>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</sst>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d\ dd/mm"/>
  </numFmts>
  <fonts count="19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4"/>
      <color indexed="9"/>
      <name val="Arial"/>
      <family val="2"/>
    </font>
    <font>
      <sz val="12"/>
      <name val="Times New Roman"/>
      <family val="1"/>
    </font>
    <font>
      <sz val="12"/>
      <color indexed="9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0"/>
      <name val="Calibri"/>
      <family val="2"/>
      <scheme val="minor"/>
    </font>
    <font>
      <b/>
      <i/>
      <sz val="10"/>
      <name val="Calibri"/>
      <family val="2"/>
      <scheme val="minor"/>
    </font>
    <font>
      <u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4"/>
      <color indexed="9"/>
      <name val="Calibri"/>
      <family val="2"/>
      <scheme val="minor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>
      <alignment vertical="top"/>
      <protection locked="0"/>
    </xf>
  </cellStyleXfs>
  <cellXfs count="9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 applyProtection="1">
      <alignment horizontal="center" vertical="top"/>
      <protection hidden="1"/>
    </xf>
    <xf numFmtId="0" fontId="0" fillId="0" borderId="0" xfId="0" applyAlignment="1" applyProtection="1">
      <alignment vertical="top"/>
      <protection locked="0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165" fontId="1" fillId="2" borderId="3" xfId="0" applyNumberFormat="1" applyFont="1" applyFill="1" applyBorder="1" applyAlignment="1">
      <alignment horizontal="center" vertical="top" wrapText="1"/>
    </xf>
    <xf numFmtId="0" fontId="0" fillId="3" borderId="1" xfId="0" applyFill="1" applyBorder="1" applyAlignment="1" applyProtection="1">
      <alignment horizontal="center" vertical="top"/>
      <protection locked="0"/>
    </xf>
    <xf numFmtId="14" fontId="0" fillId="3" borderId="1" xfId="0" applyNumberFormat="1" applyFill="1" applyBorder="1" applyAlignment="1" applyProtection="1">
      <alignment horizontal="center" vertical="top"/>
      <protection locked="0"/>
    </xf>
    <xf numFmtId="0" fontId="0" fillId="3" borderId="5" xfId="0" applyFill="1" applyBorder="1" applyAlignment="1" applyProtection="1">
      <alignment horizontal="center" vertical="top"/>
      <protection locked="0"/>
    </xf>
    <xf numFmtId="0" fontId="0" fillId="3" borderId="6" xfId="0" applyFill="1" applyBorder="1" applyAlignment="1" applyProtection="1">
      <alignment horizontal="center" vertical="top"/>
      <protection locked="0"/>
    </xf>
    <xf numFmtId="165" fontId="1" fillId="2" borderId="7" xfId="0" applyNumberFormat="1" applyFont="1" applyFill="1" applyBorder="1" applyAlignment="1">
      <alignment horizontal="center" vertical="top" wrapText="1"/>
    </xf>
    <xf numFmtId="0" fontId="4" fillId="3" borderId="9" xfId="0" applyFont="1" applyFill="1" applyBorder="1" applyAlignment="1" applyProtection="1">
      <alignment horizontal="center" vertical="top"/>
      <protection locked="0"/>
    </xf>
    <xf numFmtId="0" fontId="4" fillId="3" borderId="1" xfId="0" applyFont="1" applyFill="1" applyBorder="1" applyAlignment="1" applyProtection="1">
      <alignment horizontal="center" vertical="top"/>
      <protection locked="0"/>
    </xf>
    <xf numFmtId="0" fontId="4" fillId="3" borderId="1" xfId="0" applyFont="1" applyFill="1" applyBorder="1" applyAlignment="1" applyProtection="1">
      <alignment vertical="top" wrapText="1"/>
      <protection locked="0"/>
    </xf>
    <xf numFmtId="0" fontId="4" fillId="3" borderId="10" xfId="0" applyFont="1" applyFill="1" applyBorder="1" applyAlignment="1" applyProtection="1">
      <alignment horizontal="center" vertical="top"/>
      <protection locked="0"/>
    </xf>
    <xf numFmtId="0" fontId="4" fillId="0" borderId="0" xfId="0" applyFont="1" applyAlignment="1" applyProtection="1">
      <alignment vertical="top"/>
      <protection locked="0"/>
    </xf>
    <xf numFmtId="0" fontId="1" fillId="2" borderId="1" xfId="0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1" applyFont="1" applyAlignment="1" applyProtection="1">
      <alignment wrapText="1"/>
    </xf>
    <xf numFmtId="0" fontId="12" fillId="0" borderId="0" xfId="0" applyFont="1" applyAlignment="1">
      <alignment horizontal="center" vertical="top" wrapText="1"/>
    </xf>
    <xf numFmtId="0" fontId="15" fillId="0" borderId="0" xfId="0" applyFont="1" applyAlignment="1">
      <alignment wrapText="1"/>
    </xf>
    <xf numFmtId="0" fontId="12" fillId="3" borderId="0" xfId="0" applyFont="1" applyFill="1" applyAlignment="1">
      <alignment wrapText="1"/>
    </xf>
    <xf numFmtId="0" fontId="1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1" fillId="5" borderId="14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1" fillId="2" borderId="16" xfId="0" applyFont="1" applyFill="1" applyBorder="1" applyAlignment="1">
      <alignment vertical="top" wrapText="1"/>
    </xf>
    <xf numFmtId="0" fontId="4" fillId="3" borderId="11" xfId="0" applyFont="1" applyFill="1" applyBorder="1" applyAlignment="1" applyProtection="1">
      <alignment vertical="top" wrapText="1"/>
      <protection locked="0"/>
    </xf>
    <xf numFmtId="0" fontId="1" fillId="2" borderId="5" xfId="0" applyFont="1" applyFill="1" applyBorder="1" applyAlignment="1">
      <alignment vertical="top" wrapText="1"/>
    </xf>
    <xf numFmtId="0" fontId="1" fillId="2" borderId="13" xfId="0" applyFont="1" applyFill="1" applyBorder="1" applyAlignment="1">
      <alignment vertical="top" wrapText="1"/>
    </xf>
    <xf numFmtId="0" fontId="1" fillId="2" borderId="17" xfId="0" applyFont="1" applyFill="1" applyBorder="1" applyAlignment="1">
      <alignment horizontal="center" vertical="top"/>
    </xf>
    <xf numFmtId="0" fontId="1" fillId="2" borderId="18" xfId="0" applyFont="1" applyFill="1" applyBorder="1" applyAlignment="1">
      <alignment horizontal="center" vertical="top"/>
    </xf>
    <xf numFmtId="0" fontId="4" fillId="3" borderId="21" xfId="0" applyFont="1" applyFill="1" applyBorder="1" applyAlignment="1" applyProtection="1">
      <alignment horizontal="center" vertical="top"/>
      <protection locked="0"/>
    </xf>
    <xf numFmtId="0" fontId="10" fillId="0" borderId="11" xfId="0" applyFont="1" applyBorder="1" applyAlignment="1">
      <alignment horizontal="center" vertical="center"/>
    </xf>
    <xf numFmtId="0" fontId="10" fillId="3" borderId="1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4" fillId="3" borderId="5" xfId="0" applyFont="1" applyFill="1" applyBorder="1" applyAlignment="1" applyProtection="1">
      <alignment vertical="top" wrapText="1"/>
      <protection locked="0"/>
    </xf>
    <xf numFmtId="0" fontId="4" fillId="3" borderId="6" xfId="0" applyFont="1" applyFill="1" applyBorder="1" applyAlignment="1" applyProtection="1">
      <alignment vertical="top" wrapText="1"/>
      <protection locked="0"/>
    </xf>
    <xf numFmtId="0" fontId="4" fillId="3" borderId="15" xfId="0" applyFont="1" applyFill="1" applyBorder="1" applyAlignment="1" applyProtection="1">
      <alignment vertical="top" wrapText="1"/>
      <protection locked="0"/>
    </xf>
    <xf numFmtId="0" fontId="4" fillId="3" borderId="8" xfId="0" applyFont="1" applyFill="1" applyBorder="1" applyAlignment="1" applyProtection="1">
      <alignment horizontal="center" vertical="top"/>
      <protection locked="0"/>
    </xf>
    <xf numFmtId="0" fontId="4" fillId="3" borderId="22" xfId="0" applyFont="1" applyFill="1" applyBorder="1" applyAlignment="1" applyProtection="1">
      <alignment horizontal="center" vertical="top"/>
      <protection locked="0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10" fillId="3" borderId="15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top"/>
      <protection locked="0"/>
    </xf>
    <xf numFmtId="0" fontId="18" fillId="2" borderId="2" xfId="0" applyFont="1" applyFill="1" applyBorder="1" applyAlignment="1">
      <alignment horizontal="center" vertical="top" wrapText="1"/>
    </xf>
    <xf numFmtId="0" fontId="18" fillId="2" borderId="3" xfId="0" applyFont="1" applyFill="1" applyBorder="1" applyAlignment="1">
      <alignment horizontal="center" vertical="top" wrapText="1"/>
    </xf>
    <xf numFmtId="0" fontId="18" fillId="2" borderId="3" xfId="0" applyFont="1" applyFill="1" applyBorder="1" applyAlignment="1">
      <alignment vertical="top" wrapText="1"/>
    </xf>
    <xf numFmtId="0" fontId="18" fillId="2" borderId="16" xfId="0" applyFont="1" applyFill="1" applyBorder="1" applyAlignment="1">
      <alignment vertical="top" wrapText="1"/>
    </xf>
    <xf numFmtId="0" fontId="18" fillId="2" borderId="4" xfId="0" applyFont="1" applyFill="1" applyBorder="1" applyAlignment="1">
      <alignment horizontal="center" vertical="top" wrapText="1"/>
    </xf>
    <xf numFmtId="165" fontId="18" fillId="2" borderId="7" xfId="0" applyNumberFormat="1" applyFont="1" applyFill="1" applyBorder="1" applyAlignment="1">
      <alignment horizontal="center" vertical="top" wrapText="1"/>
    </xf>
    <xf numFmtId="165" fontId="18" fillId="2" borderId="3" xfId="0" applyNumberFormat="1" applyFont="1" applyFill="1" applyBorder="1" applyAlignment="1">
      <alignment horizontal="center" vertical="top" wrapText="1"/>
    </xf>
    <xf numFmtId="0" fontId="7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7" fillId="0" borderId="0" xfId="0" applyFont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1" fillId="2" borderId="23" xfId="0" applyFont="1" applyFill="1" applyBorder="1" applyAlignment="1">
      <alignment horizontal="center" vertical="top"/>
    </xf>
    <xf numFmtId="0" fontId="0" fillId="0" borderId="19" xfId="0" applyBorder="1" applyAlignment="1"/>
    <xf numFmtId="0" fontId="0" fillId="0" borderId="20" xfId="0" applyBorder="1" applyAlignment="1"/>
    <xf numFmtId="0" fontId="5" fillId="3" borderId="1" xfId="0" applyFont="1" applyFill="1" applyBorder="1" applyAlignment="1">
      <alignment horizontal="center"/>
    </xf>
    <xf numFmtId="0" fontId="0" fillId="0" borderId="12" xfId="0" applyBorder="1" applyAlignment="1"/>
    <xf numFmtId="0" fontId="0" fillId="0" borderId="10" xfId="0" applyBorder="1" applyAlignment="1"/>
    <xf numFmtId="0" fontId="1" fillId="0" borderId="1" xfId="0" applyFont="1" applyBorder="1" applyAlignment="1">
      <alignment horizontal="center" vertical="center"/>
    </xf>
    <xf numFmtId="0" fontId="0" fillId="0" borderId="13" xfId="0" applyBorder="1" applyAlignment="1"/>
    <xf numFmtId="0" fontId="17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8" fillId="4" borderId="0" xfId="0" applyFont="1" applyFill="1" applyAlignment="1">
      <alignment horizontal="center" vertical="center" wrapText="1"/>
    </xf>
    <xf numFmtId="0" fontId="7" fillId="0" borderId="0" xfId="0" applyFont="1" applyAlignment="1"/>
    <xf numFmtId="0" fontId="7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13">
    <dxf>
      <font>
        <condense val="0"/>
        <extend val="0"/>
        <color indexed="10"/>
      </font>
    </dxf>
    <dxf>
      <font>
        <condense val="0"/>
        <extend val="0"/>
        <color indexed="57"/>
      </font>
    </dxf>
    <dxf>
      <font>
        <i/>
        <sz val="12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indexed="41"/>
        </patternFill>
      </fill>
      <alignment horizontal="center" vertical="center"/>
    </dxf>
    <dxf>
      <font>
        <b/>
        <i/>
        <strike val="0"/>
        <condense val="0"/>
        <extend val="0"/>
        <outline val="0"/>
        <shadow val="0"/>
        <vertAlign val="baseline"/>
        <sz val="12"/>
        <color auto="1"/>
        <name val="Times New Roman"/>
      </font>
      <fill>
        <patternFill patternType="solid">
          <fgColor indexed="64"/>
          <bgColor theme="1" tint="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Burndown Chart </a:t>
            </a:r>
          </a:p>
        </c:rich>
      </c:tx>
      <c:layout>
        <c:manualLayout>
          <c:xMode val="edge"/>
          <c:yMode val="edge"/>
          <c:x val="0.40353269043616741"/>
          <c:y val="4.2895471399408407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0375104659638951"/>
          <c:y val="0.1863308454521361"/>
          <c:w val="0.88043536671206712"/>
          <c:h val="0.662199258282792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1'!$F$20:$S$20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2A-4AF4-B82F-E6E3B7CA463F}"/>
            </c:ext>
          </c:extLst>
        </c:ser>
        <c:ser>
          <c:idx val="1"/>
          <c:order val="1"/>
          <c:spPr>
            <a:ln w="12700">
              <a:solidFill>
                <a:srgbClr val="F20884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20884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val>
            <c:numRef>
              <c:f>'Sprint 1'!$F$21:$S$21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12A-4AF4-B82F-E6E3B7CA4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3120"/>
        <c:axId val="646860736"/>
      </c:lineChart>
      <c:catAx>
        <c:axId val="2289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58"/>
              <c:y val="0.91421016817342282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860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468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25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2.4456486478516028E-2"/>
              <c:y val="0.28150175672485378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33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80527525950052"/>
          <c:y val="0.30481273174186557"/>
          <c:w val="0.13580642307352031"/>
          <c:h val="0.170670332875057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Burndown Chart </a:t>
            </a:r>
          </a:p>
        </c:rich>
      </c:tx>
      <c:layout>
        <c:manualLayout>
          <c:xMode val="edge"/>
          <c:yMode val="edge"/>
          <c:x val="0.40353269043616741"/>
          <c:y val="4.2895471399408407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0375100372727381"/>
          <c:y val="0.168958412284026"/>
          <c:w val="0.88043536671206712"/>
          <c:h val="0.662199258282792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9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90"/>
              </a:solidFill>
              <a:ln>
                <a:solidFill>
                  <a:srgbClr val="00009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'Sprint 2'!$F$20:$S$20</c:f>
              <c:numCache>
                <c:formatCode>General</c:formatCode>
                <c:ptCount val="14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BC-42DD-95A9-08F059B37903}"/>
            </c:ext>
          </c:extLst>
        </c:ser>
        <c:ser>
          <c:idx val="1"/>
          <c:order val="1"/>
          <c:spPr>
            <a:ln w="12700">
              <a:solidFill>
                <a:srgbClr val="F20884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20884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val>
            <c:numRef>
              <c:f>'Sprint 2'!$F$21:$S$21</c:f>
              <c:numCache>
                <c:formatCode>General</c:formatCode>
                <c:ptCount val="14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3BC-42DD-95A9-08F059B37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3120"/>
        <c:axId val="646860736"/>
      </c:lineChart>
      <c:catAx>
        <c:axId val="2289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58"/>
              <c:y val="0.91421016817342282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68607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6468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25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2.4456486478516028E-2"/>
              <c:y val="0.28150175672485378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33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80527525950052"/>
          <c:y val="0.30481273174186557"/>
          <c:w val="0.13580642307352031"/>
          <c:h val="0.170670332875057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18</xdr:row>
      <xdr:rowOff>95250</xdr:rowOff>
    </xdr:from>
    <xdr:to>
      <xdr:col>1</xdr:col>
      <xdr:colOff>895350</xdr:colOff>
      <xdr:row>20</xdr:row>
      <xdr:rowOff>66675</xdr:rowOff>
    </xdr:to>
    <xdr:pic>
      <xdr:nvPicPr>
        <xdr:cNvPr id="2126" name="Picture 2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14600" y="3514725"/>
          <a:ext cx="828675" cy="29527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857250</xdr:colOff>
      <xdr:row>26</xdr:row>
      <xdr:rowOff>28574</xdr:rowOff>
    </xdr:from>
    <xdr:to>
      <xdr:col>17</xdr:col>
      <xdr:colOff>685800</xdr:colOff>
      <xdr:row>44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904875</xdr:colOff>
      <xdr:row>25</xdr:row>
      <xdr:rowOff>133349</xdr:rowOff>
    </xdr:from>
    <xdr:to>
      <xdr:col>17</xdr:col>
      <xdr:colOff>504825</xdr:colOff>
      <xdr:row>44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G21" totalsRowShown="0" headerRowDxfId="12" dataDxfId="11" headerRowBorderDxfId="9" tableBorderDxfId="10">
  <autoFilter ref="A10:G21" xr:uid="{00000000-0009-0000-0100-000001000000}"/>
  <sortState xmlns:xlrd2="http://schemas.microsoft.com/office/spreadsheetml/2017/richdata2" ref="A11:F20">
    <sortCondition ref="F10:F20"/>
  </sortState>
  <tableColumns count="7">
    <tableColumn id="1" xr3:uid="{00000000-0010-0000-0000-000001000000}" name=" Story ID" dataDxfId="8"/>
    <tableColumn id="2" xr3:uid="{00000000-0010-0000-0000-000002000000}" name="Title" dataDxfId="7"/>
    <tableColumn id="3" xr3:uid="{00000000-0010-0000-0000-000003000000}" name="Description" dataDxfId="6"/>
    <tableColumn id="4" xr3:uid="{00000000-0010-0000-0000-000004000000}" name="Acceptance Criteria" dataDxfId="5"/>
    <tableColumn id="5" xr3:uid="{00000000-0010-0000-0000-000005000000}" name="Priority #" dataDxfId="4"/>
    <tableColumn id="6" xr3:uid="{00000000-0010-0000-0000-000006000000}" name="Sprint #" dataDxfId="3"/>
    <tableColumn id="7" xr3:uid="{00000000-0010-0000-0000-000007000000}" name="Responsibility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D35"/>
  <sheetViews>
    <sheetView topLeftCell="A4" workbookViewId="0">
      <selection activeCell="A2" sqref="A2:B2"/>
    </sheetView>
  </sheetViews>
  <sheetFormatPr defaultColWidth="11.42578125" defaultRowHeight="12.75"/>
  <cols>
    <col min="1" max="1" width="36.7109375" style="16" customWidth="1"/>
    <col min="2" max="2" width="114.85546875" style="1" customWidth="1"/>
    <col min="3" max="6" width="11.42578125" style="1" customWidth="1"/>
    <col min="7" max="16384" width="11.42578125" style="1"/>
  </cols>
  <sheetData>
    <row r="2" spans="1:4" s="13" customFormat="1" ht="39.75" customHeight="1">
      <c r="A2" s="94" t="s">
        <v>0</v>
      </c>
      <c r="B2" s="95"/>
      <c r="C2" s="33"/>
      <c r="D2" s="33"/>
    </row>
    <row r="3" spans="1:4">
      <c r="A3" s="34"/>
      <c r="B3" s="33"/>
      <c r="C3" s="35"/>
      <c r="D3" s="35"/>
    </row>
    <row r="4" spans="1:4" s="15" customFormat="1">
      <c r="A4" s="34"/>
      <c r="B4" s="36"/>
      <c r="C4" s="36"/>
      <c r="D4" s="36"/>
    </row>
    <row r="5" spans="1:4" s="15" customFormat="1">
      <c r="A5" s="34"/>
      <c r="B5" s="36"/>
      <c r="C5" s="36"/>
      <c r="D5" s="36"/>
    </row>
    <row r="6" spans="1:4" s="14" customFormat="1">
      <c r="A6" s="34" t="s">
        <v>1</v>
      </c>
      <c r="B6" s="35" t="s">
        <v>2</v>
      </c>
      <c r="C6" s="35"/>
      <c r="D6" s="35"/>
    </row>
    <row r="7" spans="1:4" s="15" customFormat="1">
      <c r="A7" s="34"/>
      <c r="B7" s="36"/>
      <c r="C7" s="36"/>
      <c r="D7" s="36"/>
    </row>
    <row r="8" spans="1:4" s="15" customFormat="1">
      <c r="A8" s="34"/>
      <c r="B8" s="37"/>
      <c r="C8" s="36"/>
      <c r="D8" s="36"/>
    </row>
    <row r="9" spans="1:4" s="14" customFormat="1">
      <c r="A9" s="38"/>
      <c r="B9" s="37"/>
      <c r="C9" s="35"/>
      <c r="D9" s="35"/>
    </row>
    <row r="10" spans="1:4" s="15" customFormat="1">
      <c r="A10" s="34"/>
      <c r="B10" s="36"/>
      <c r="C10" s="36"/>
      <c r="D10" s="36"/>
    </row>
    <row r="11" spans="1:4" s="14" customFormat="1">
      <c r="A11" s="34" t="s">
        <v>3</v>
      </c>
      <c r="B11" s="39" t="s">
        <v>4</v>
      </c>
      <c r="C11" s="35"/>
      <c r="D11" s="35"/>
    </row>
    <row r="12" spans="1:4">
      <c r="A12" s="34"/>
      <c r="B12" s="39" t="s">
        <v>5</v>
      </c>
      <c r="C12" s="35"/>
      <c r="D12" s="35"/>
    </row>
    <row r="13" spans="1:4">
      <c r="A13" s="34"/>
      <c r="B13" s="39"/>
      <c r="C13" s="35"/>
      <c r="D13" s="35"/>
    </row>
    <row r="14" spans="1:4">
      <c r="A14" s="34"/>
      <c r="B14" s="35"/>
      <c r="C14" s="35"/>
      <c r="D14" s="35"/>
    </row>
    <row r="15" spans="1:4">
      <c r="A15" s="34" t="s">
        <v>6</v>
      </c>
      <c r="B15" s="40" t="s">
        <v>7</v>
      </c>
      <c r="C15" s="35"/>
      <c r="D15" s="35"/>
    </row>
    <row r="16" spans="1:4">
      <c r="A16" s="34"/>
      <c r="B16" s="35" t="s">
        <v>8</v>
      </c>
      <c r="C16" s="35"/>
      <c r="D16" s="35"/>
    </row>
    <row r="17" spans="1:4" s="14" customFormat="1">
      <c r="A17" s="34"/>
      <c r="B17" s="35"/>
      <c r="C17" s="35"/>
      <c r="D17" s="35"/>
    </row>
    <row r="18" spans="1:4" s="15" customFormat="1">
      <c r="A18" s="34" t="s">
        <v>9</v>
      </c>
      <c r="B18" s="41" t="s">
        <v>10</v>
      </c>
      <c r="C18" s="36"/>
      <c r="D18" s="36"/>
    </row>
    <row r="19" spans="1:4">
      <c r="A19" s="34"/>
      <c r="B19" s="35"/>
      <c r="C19" s="35"/>
      <c r="D19" s="35"/>
    </row>
    <row r="20" spans="1:4">
      <c r="A20" s="34"/>
      <c r="B20" s="35"/>
      <c r="C20" s="35"/>
      <c r="D20" s="35"/>
    </row>
    <row r="21" spans="1:4">
      <c r="A21" s="34"/>
      <c r="B21" s="35"/>
      <c r="C21" s="35"/>
      <c r="D21" s="35"/>
    </row>
    <row r="22" spans="1:4">
      <c r="A22" s="34"/>
      <c r="B22" s="35"/>
      <c r="C22" s="35"/>
      <c r="D22" s="35"/>
    </row>
    <row r="23" spans="1:4">
      <c r="A23" s="34" t="s">
        <v>11</v>
      </c>
      <c r="B23" s="35" t="s">
        <v>12</v>
      </c>
      <c r="C23" s="35"/>
      <c r="D23" s="35"/>
    </row>
    <row r="24" spans="1:4">
      <c r="A24" s="34"/>
      <c r="B24" s="37"/>
      <c r="C24" s="35"/>
      <c r="D24" s="35"/>
    </row>
    <row r="31" spans="1:4">
      <c r="A31" s="1"/>
    </row>
    <row r="32" spans="1:4">
      <c r="A32" s="1"/>
    </row>
    <row r="33" spans="1:1">
      <c r="A33" s="1"/>
    </row>
    <row r="34" spans="1:1">
      <c r="A34" s="1"/>
    </row>
    <row r="35" spans="1:1">
      <c r="A35" s="1"/>
    </row>
  </sheetData>
  <mergeCells count="1">
    <mergeCell ref="A2:B2"/>
  </mergeCell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EC24"/>
  <sheetViews>
    <sheetView zoomScaleNormal="100" workbookViewId="0">
      <selection activeCell="A2" sqref="A2:F2"/>
    </sheetView>
  </sheetViews>
  <sheetFormatPr defaultColWidth="11.42578125" defaultRowHeight="15.75"/>
  <cols>
    <col min="1" max="1" width="36.85546875" style="43" customWidth="1"/>
    <col min="2" max="2" width="35.140625" style="42" customWidth="1"/>
    <col min="3" max="3" width="103.140625" style="42" bestFit="1" customWidth="1"/>
    <col min="4" max="4" width="74.85546875" style="42" bestFit="1" customWidth="1"/>
    <col min="5" max="5" width="15.5703125" style="43" bestFit="1" customWidth="1"/>
    <col min="6" max="6" width="11.85546875" style="42" bestFit="1" customWidth="1"/>
    <col min="7" max="7" width="20.5703125" style="42" customWidth="1"/>
    <col min="8" max="137" width="11.42578125" style="42" customWidth="1"/>
    <col min="138" max="16384" width="11.42578125" style="42"/>
  </cols>
  <sheetData>
    <row r="2" spans="1:133">
      <c r="A2" s="96" t="s">
        <v>0</v>
      </c>
      <c r="B2" s="97"/>
      <c r="C2" s="97"/>
      <c r="D2" s="97"/>
      <c r="E2" s="98"/>
      <c r="F2" s="9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7"/>
      <c r="BV2" s="77"/>
      <c r="BW2" s="77"/>
      <c r="BX2" s="77"/>
      <c r="BY2" s="77"/>
      <c r="BZ2" s="77"/>
      <c r="CA2" s="77"/>
      <c r="CB2" s="77"/>
      <c r="CC2" s="77"/>
      <c r="CD2" s="77"/>
      <c r="CE2" s="77"/>
      <c r="CF2" s="77"/>
      <c r="CG2" s="77"/>
      <c r="CH2" s="77"/>
      <c r="CI2" s="77"/>
      <c r="CJ2" s="77"/>
      <c r="CK2" s="77"/>
      <c r="CL2" s="77"/>
      <c r="CM2" s="77"/>
      <c r="CN2" s="77"/>
      <c r="CO2" s="77"/>
      <c r="CP2" s="77"/>
      <c r="CQ2" s="77"/>
      <c r="CR2" s="77"/>
      <c r="CS2" s="77"/>
      <c r="CT2" s="77"/>
      <c r="CU2" s="77"/>
      <c r="CV2" s="77"/>
      <c r="CW2" s="77"/>
      <c r="CX2" s="77"/>
      <c r="CY2" s="77"/>
      <c r="CZ2" s="77"/>
      <c r="DA2" s="77"/>
      <c r="DB2" s="77"/>
      <c r="DC2" s="77"/>
      <c r="DD2" s="77"/>
      <c r="DE2" s="77"/>
      <c r="DF2" s="77"/>
      <c r="DG2" s="77"/>
      <c r="DH2" s="77"/>
      <c r="DI2" s="77"/>
      <c r="DJ2" s="77"/>
      <c r="DK2" s="77"/>
      <c r="DL2" s="77"/>
      <c r="DM2" s="77"/>
      <c r="DN2" s="77"/>
      <c r="DO2" s="77"/>
      <c r="DP2" s="77"/>
      <c r="DQ2" s="77"/>
      <c r="DR2" s="77"/>
      <c r="DS2" s="77"/>
      <c r="DT2" s="77"/>
      <c r="DU2" s="77"/>
      <c r="DV2" s="77"/>
      <c r="DW2" s="77"/>
      <c r="DX2" s="77"/>
      <c r="DY2" s="77"/>
      <c r="DZ2" s="77"/>
      <c r="EA2" s="77"/>
      <c r="EB2" s="77"/>
      <c r="EC2" s="77"/>
    </row>
    <row r="3" spans="1:133">
      <c r="A3" s="81"/>
      <c r="B3" s="77"/>
      <c r="C3" s="77"/>
      <c r="D3" s="81"/>
      <c r="E3" s="81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  <c r="BU3" s="77"/>
      <c r="BV3" s="77"/>
      <c r="BW3" s="77"/>
      <c r="BX3" s="77"/>
      <c r="BY3" s="77"/>
      <c r="BZ3" s="77"/>
      <c r="CA3" s="77"/>
      <c r="CB3" s="77"/>
      <c r="CC3" s="77"/>
      <c r="CD3" s="77"/>
      <c r="CE3" s="77"/>
      <c r="CF3" s="77"/>
      <c r="CG3" s="77"/>
      <c r="CH3" s="77"/>
      <c r="CI3" s="77"/>
      <c r="CJ3" s="77"/>
      <c r="CK3" s="77"/>
      <c r="CL3" s="77"/>
      <c r="CM3" s="77"/>
      <c r="CN3" s="77"/>
      <c r="CO3" s="77"/>
      <c r="CP3" s="77"/>
      <c r="CQ3" s="77"/>
      <c r="CR3" s="77"/>
      <c r="CS3" s="77"/>
      <c r="CT3" s="77"/>
      <c r="CU3" s="77"/>
      <c r="CV3" s="77"/>
      <c r="CW3" s="77"/>
      <c r="CX3" s="77"/>
      <c r="CY3" s="77"/>
      <c r="CZ3" s="77"/>
      <c r="DA3" s="77"/>
      <c r="DB3" s="77"/>
      <c r="DC3" s="77"/>
      <c r="DD3" s="77"/>
      <c r="DE3" s="77"/>
      <c r="DF3" s="77"/>
      <c r="DG3" s="77"/>
      <c r="DH3" s="77"/>
      <c r="DI3" s="77"/>
      <c r="DJ3" s="77"/>
      <c r="DK3" s="77"/>
      <c r="DL3" s="77"/>
      <c r="DM3" s="77"/>
      <c r="DN3" s="77"/>
      <c r="DO3" s="77"/>
      <c r="DP3" s="77"/>
      <c r="DQ3" s="77"/>
      <c r="DR3" s="77"/>
      <c r="DS3" s="77"/>
      <c r="DT3" s="77"/>
      <c r="DU3" s="77"/>
      <c r="DV3" s="77"/>
      <c r="DW3" s="77"/>
      <c r="DX3" s="77"/>
      <c r="DY3" s="77"/>
      <c r="DZ3" s="77"/>
      <c r="EA3" s="77"/>
      <c r="EB3" s="77"/>
      <c r="EC3" s="77"/>
    </row>
    <row r="4" spans="1:133">
      <c r="A4" s="81"/>
      <c r="B4" s="47" t="s">
        <v>13</v>
      </c>
      <c r="C4" s="58" t="s">
        <v>14</v>
      </c>
      <c r="D4" s="81"/>
      <c r="E4" s="81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O4" s="77"/>
      <c r="CP4" s="77"/>
      <c r="CQ4" s="77"/>
      <c r="CR4" s="77"/>
      <c r="CS4" s="77"/>
      <c r="CT4" s="77"/>
      <c r="CU4" s="77"/>
      <c r="CV4" s="77"/>
      <c r="CW4" s="77"/>
      <c r="CX4" s="77"/>
      <c r="CY4" s="77"/>
      <c r="CZ4" s="77"/>
      <c r="DA4" s="77"/>
      <c r="DB4" s="77"/>
      <c r="DC4" s="77"/>
      <c r="DD4" s="77"/>
      <c r="DE4" s="77"/>
      <c r="DF4" s="77"/>
      <c r="DG4" s="77"/>
      <c r="DH4" s="77"/>
      <c r="DI4" s="77"/>
      <c r="DJ4" s="77"/>
      <c r="DK4" s="77"/>
      <c r="DL4" s="77"/>
      <c r="DM4" s="77"/>
      <c r="DN4" s="77"/>
      <c r="DO4" s="77"/>
      <c r="DP4" s="77"/>
      <c r="DQ4" s="77"/>
      <c r="DR4" s="77"/>
      <c r="DS4" s="77"/>
      <c r="DT4" s="77"/>
      <c r="DU4" s="77"/>
      <c r="DV4" s="77"/>
      <c r="DW4" s="77"/>
      <c r="DX4" s="77"/>
      <c r="DY4" s="77"/>
      <c r="DZ4" s="77"/>
      <c r="EA4" s="77"/>
      <c r="EB4" s="77"/>
      <c r="EC4" s="77"/>
    </row>
    <row r="5" spans="1:133">
      <c r="A5" s="81"/>
      <c r="B5" s="47" t="s">
        <v>15</v>
      </c>
      <c r="C5" s="58" t="s">
        <v>16</v>
      </c>
      <c r="D5" s="81"/>
      <c r="E5" s="81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  <c r="BU5" s="77"/>
      <c r="BV5" s="77"/>
      <c r="BW5" s="77"/>
      <c r="BX5" s="77"/>
      <c r="BY5" s="77"/>
      <c r="BZ5" s="77"/>
      <c r="CA5" s="77"/>
      <c r="CB5" s="77"/>
      <c r="CC5" s="77"/>
      <c r="CD5" s="77"/>
      <c r="CE5" s="77"/>
      <c r="CF5" s="77"/>
      <c r="CG5" s="77"/>
      <c r="CH5" s="77"/>
      <c r="CI5" s="77"/>
      <c r="CJ5" s="77"/>
      <c r="CK5" s="77"/>
      <c r="CL5" s="77"/>
      <c r="CM5" s="77"/>
      <c r="CN5" s="77"/>
      <c r="CO5" s="77"/>
      <c r="CP5" s="77"/>
      <c r="CQ5" s="77"/>
      <c r="CR5" s="77"/>
      <c r="CS5" s="77"/>
      <c r="CT5" s="77"/>
      <c r="CU5" s="77"/>
      <c r="CV5" s="77"/>
      <c r="CW5" s="77"/>
      <c r="CX5" s="77"/>
      <c r="CY5" s="77"/>
      <c r="CZ5" s="77"/>
      <c r="DA5" s="77"/>
      <c r="DB5" s="77"/>
      <c r="DC5" s="77"/>
      <c r="DD5" s="77"/>
      <c r="DE5" s="77"/>
      <c r="DF5" s="77"/>
      <c r="DG5" s="77"/>
      <c r="DH5" s="77"/>
      <c r="DI5" s="77"/>
      <c r="DJ5" s="77"/>
      <c r="DK5" s="77"/>
      <c r="DL5" s="77"/>
      <c r="DM5" s="77"/>
      <c r="DN5" s="77"/>
      <c r="DO5" s="77"/>
      <c r="DP5" s="77"/>
      <c r="DQ5" s="77"/>
      <c r="DR5" s="77"/>
      <c r="DS5" s="77"/>
      <c r="DT5" s="77"/>
      <c r="DU5" s="77"/>
      <c r="DV5" s="77"/>
      <c r="DW5" s="77"/>
      <c r="DX5" s="77"/>
      <c r="DY5" s="77"/>
      <c r="DZ5" s="77"/>
      <c r="EA5" s="77"/>
      <c r="EB5" s="77"/>
      <c r="EC5" s="77"/>
    </row>
    <row r="6" spans="1:133">
      <c r="A6" s="81"/>
      <c r="B6" s="47" t="s">
        <v>17</v>
      </c>
      <c r="C6" s="58" t="s">
        <v>18</v>
      </c>
      <c r="D6" s="81"/>
      <c r="E6" s="81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7"/>
      <c r="DB6" s="77"/>
      <c r="DC6" s="77"/>
      <c r="DD6" s="77"/>
      <c r="DE6" s="77"/>
      <c r="DF6" s="77"/>
      <c r="DG6" s="77"/>
      <c r="DH6" s="77"/>
      <c r="DI6" s="77"/>
      <c r="DJ6" s="77"/>
      <c r="DK6" s="77"/>
      <c r="DL6" s="77"/>
      <c r="DM6" s="77"/>
      <c r="DN6" s="77"/>
      <c r="DO6" s="77"/>
      <c r="DP6" s="77"/>
      <c r="DQ6" s="77"/>
      <c r="DR6" s="77"/>
      <c r="DS6" s="77"/>
      <c r="DT6" s="77"/>
      <c r="DU6" s="77"/>
      <c r="DV6" s="77"/>
      <c r="DW6" s="77"/>
      <c r="DX6" s="77"/>
      <c r="DY6" s="77"/>
      <c r="DZ6" s="77"/>
      <c r="EA6" s="77"/>
      <c r="EB6" s="77"/>
      <c r="EC6" s="77"/>
    </row>
    <row r="7" spans="1:133">
      <c r="A7" s="81"/>
      <c r="B7" s="47" t="s">
        <v>19</v>
      </c>
      <c r="C7" s="58" t="s">
        <v>20</v>
      </c>
      <c r="D7" s="81"/>
      <c r="E7" s="81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77"/>
      <c r="CD7" s="77"/>
      <c r="CE7" s="77"/>
      <c r="CF7" s="77"/>
      <c r="CG7" s="77"/>
      <c r="CH7" s="77"/>
      <c r="CI7" s="77"/>
      <c r="CJ7" s="77"/>
      <c r="CK7" s="77"/>
      <c r="CL7" s="77"/>
      <c r="CM7" s="77"/>
      <c r="CN7" s="77"/>
      <c r="CO7" s="77"/>
      <c r="CP7" s="77"/>
      <c r="CQ7" s="77"/>
      <c r="CR7" s="77"/>
      <c r="CS7" s="77"/>
      <c r="CT7" s="77"/>
      <c r="CU7" s="77"/>
      <c r="CV7" s="77"/>
      <c r="CW7" s="77"/>
      <c r="CX7" s="77"/>
      <c r="CY7" s="77"/>
      <c r="CZ7" s="77"/>
      <c r="DA7" s="77"/>
      <c r="DB7" s="77"/>
      <c r="DC7" s="77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  <c r="DP7" s="77"/>
      <c r="DQ7" s="77"/>
      <c r="DR7" s="77"/>
      <c r="DS7" s="77"/>
      <c r="DT7" s="77"/>
      <c r="DU7" s="77"/>
      <c r="DV7" s="77"/>
      <c r="DW7" s="77"/>
      <c r="DX7" s="77"/>
      <c r="DY7" s="77"/>
      <c r="DZ7" s="77"/>
      <c r="EA7" s="77"/>
      <c r="EB7" s="77"/>
      <c r="EC7" s="77"/>
    </row>
    <row r="8" spans="1:133">
      <c r="A8" s="81"/>
      <c r="B8" s="47" t="s">
        <v>21</v>
      </c>
      <c r="C8" s="58" t="s">
        <v>22</v>
      </c>
      <c r="D8" s="81"/>
      <c r="E8" s="81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7"/>
      <c r="BQ8" s="77"/>
      <c r="BR8" s="77"/>
      <c r="BS8" s="77"/>
      <c r="BT8" s="77"/>
      <c r="BU8" s="77"/>
      <c r="BV8" s="77"/>
      <c r="BW8" s="77"/>
      <c r="BX8" s="77"/>
      <c r="BY8" s="77"/>
      <c r="BZ8" s="77"/>
      <c r="CA8" s="77"/>
      <c r="CB8" s="77"/>
      <c r="CC8" s="77"/>
      <c r="CD8" s="77"/>
      <c r="CE8" s="77"/>
      <c r="CF8" s="77"/>
      <c r="CG8" s="77"/>
      <c r="CH8" s="77"/>
      <c r="CI8" s="77"/>
      <c r="CJ8" s="77"/>
      <c r="CK8" s="77"/>
      <c r="CL8" s="77"/>
      <c r="CM8" s="77"/>
      <c r="CN8" s="77"/>
      <c r="CO8" s="77"/>
      <c r="CP8" s="77"/>
      <c r="CQ8" s="77"/>
      <c r="CR8" s="77"/>
      <c r="CS8" s="77"/>
      <c r="CT8" s="77"/>
      <c r="CU8" s="77"/>
      <c r="CV8" s="77"/>
      <c r="CW8" s="77"/>
      <c r="CX8" s="77"/>
      <c r="CY8" s="77"/>
      <c r="CZ8" s="77"/>
      <c r="DA8" s="77"/>
      <c r="DB8" s="77"/>
      <c r="DC8" s="77"/>
      <c r="DD8" s="77"/>
      <c r="DE8" s="77"/>
      <c r="DF8" s="77"/>
      <c r="DG8" s="77"/>
      <c r="DH8" s="77"/>
      <c r="DI8" s="77"/>
      <c r="DJ8" s="77"/>
      <c r="DK8" s="77"/>
      <c r="DL8" s="77"/>
      <c r="DM8" s="77"/>
      <c r="DN8" s="77"/>
      <c r="DO8" s="77"/>
      <c r="DP8" s="77"/>
      <c r="DQ8" s="77"/>
      <c r="DR8" s="77"/>
      <c r="DS8" s="77"/>
      <c r="DT8" s="77"/>
      <c r="DU8" s="77"/>
      <c r="DV8" s="77"/>
      <c r="DW8" s="77"/>
      <c r="DX8" s="77"/>
      <c r="DY8" s="77"/>
      <c r="DZ8" s="77"/>
      <c r="EA8" s="77"/>
      <c r="EB8" s="77"/>
      <c r="EC8" s="77"/>
    </row>
    <row r="9" spans="1:133">
      <c r="A9" s="81"/>
      <c r="B9" s="47" t="s">
        <v>23</v>
      </c>
      <c r="C9" s="58" t="s">
        <v>24</v>
      </c>
      <c r="D9" s="81"/>
      <c r="E9" s="81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  <c r="BW9" s="77"/>
      <c r="BX9" s="77"/>
      <c r="BY9" s="77"/>
      <c r="BZ9" s="77"/>
      <c r="CA9" s="77"/>
      <c r="CB9" s="77"/>
      <c r="CC9" s="77"/>
      <c r="CD9" s="77"/>
      <c r="CE9" s="77"/>
      <c r="CF9" s="77"/>
      <c r="CG9" s="77"/>
      <c r="CH9" s="77"/>
      <c r="CI9" s="77"/>
      <c r="CJ9" s="77"/>
      <c r="CK9" s="77"/>
      <c r="CL9" s="77"/>
      <c r="CM9" s="77"/>
      <c r="CN9" s="77"/>
      <c r="CO9" s="77"/>
      <c r="CP9" s="77"/>
      <c r="CQ9" s="77"/>
      <c r="CR9" s="77"/>
      <c r="CS9" s="77"/>
      <c r="CT9" s="77"/>
      <c r="CU9" s="77"/>
      <c r="CV9" s="77"/>
      <c r="CW9" s="77"/>
      <c r="CX9" s="77"/>
      <c r="CY9" s="77"/>
      <c r="CZ9" s="77"/>
      <c r="DA9" s="77"/>
      <c r="DB9" s="77"/>
      <c r="DC9" s="77"/>
      <c r="DD9" s="77"/>
      <c r="DE9" s="77"/>
      <c r="DF9" s="77"/>
      <c r="DG9" s="77"/>
      <c r="DH9" s="77"/>
      <c r="DI9" s="77"/>
      <c r="DJ9" s="77"/>
      <c r="DK9" s="77"/>
      <c r="DL9" s="77"/>
      <c r="DM9" s="77"/>
      <c r="DN9" s="77"/>
      <c r="DO9" s="77"/>
      <c r="DP9" s="77"/>
      <c r="DQ9" s="77"/>
      <c r="DR9" s="77"/>
      <c r="DS9" s="77"/>
      <c r="DT9" s="77"/>
      <c r="DU9" s="77"/>
      <c r="DV9" s="77"/>
      <c r="DW9" s="77"/>
      <c r="DX9" s="77"/>
      <c r="DY9" s="77"/>
      <c r="DZ9" s="77"/>
      <c r="EA9" s="77"/>
      <c r="EB9" s="77"/>
      <c r="EC9" s="77"/>
    </row>
    <row r="10" spans="1:133" s="44" customFormat="1">
      <c r="A10" s="45" t="s">
        <v>25</v>
      </c>
      <c r="B10" s="46" t="s">
        <v>26</v>
      </c>
      <c r="C10" s="46" t="s">
        <v>27</v>
      </c>
      <c r="D10" s="46" t="s">
        <v>28</v>
      </c>
      <c r="E10" s="46" t="s">
        <v>29</v>
      </c>
      <c r="F10" s="46" t="s">
        <v>30</v>
      </c>
      <c r="G10" s="46" t="s">
        <v>31</v>
      </c>
    </row>
    <row r="11" spans="1:133" s="48" customFormat="1" ht="54" customHeight="1">
      <c r="A11" s="67" t="s">
        <v>32</v>
      </c>
      <c r="B11" s="60" t="s">
        <v>33</v>
      </c>
      <c r="C11" s="60" t="s">
        <v>34</v>
      </c>
      <c r="D11" s="60" t="s">
        <v>35</v>
      </c>
      <c r="E11" s="59">
        <v>1</v>
      </c>
      <c r="F11" s="59">
        <v>1</v>
      </c>
      <c r="G11" s="66" t="s">
        <v>22</v>
      </c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7"/>
      <c r="DD11" s="57"/>
      <c r="DE11" s="57"/>
      <c r="DF11" s="57"/>
      <c r="DG11" s="57"/>
      <c r="DH11" s="57"/>
      <c r="DI11" s="57"/>
      <c r="DJ11" s="57"/>
      <c r="DK11" s="57"/>
      <c r="DL11" s="57"/>
      <c r="DM11" s="57"/>
      <c r="DN11" s="57"/>
      <c r="DO11" s="57"/>
      <c r="DP11" s="57"/>
      <c r="DQ11" s="57"/>
      <c r="DR11" s="57"/>
      <c r="DS11" s="57"/>
      <c r="DT11" s="57"/>
      <c r="DU11" s="57"/>
      <c r="DV11" s="57"/>
      <c r="DW11" s="57"/>
      <c r="DX11" s="57"/>
      <c r="DY11" s="57"/>
      <c r="DZ11" s="57"/>
      <c r="EA11" s="57"/>
      <c r="EB11" s="57"/>
      <c r="EC11" s="57"/>
    </row>
    <row r="12" spans="1:133" s="48" customFormat="1" ht="54" customHeight="1">
      <c r="A12" s="59" t="s">
        <v>36</v>
      </c>
      <c r="B12" s="60" t="s">
        <v>37</v>
      </c>
      <c r="C12" s="60" t="s">
        <v>38</v>
      </c>
      <c r="D12" s="60" t="s">
        <v>39</v>
      </c>
      <c r="E12" s="59">
        <v>1</v>
      </c>
      <c r="F12" s="59">
        <v>1</v>
      </c>
      <c r="G12" s="66" t="s">
        <v>20</v>
      </c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57"/>
      <c r="DT12" s="57"/>
      <c r="DU12" s="57"/>
      <c r="DV12" s="57"/>
      <c r="DW12" s="57"/>
      <c r="DX12" s="57"/>
      <c r="DY12" s="57"/>
      <c r="DZ12" s="57"/>
      <c r="EA12" s="57"/>
      <c r="EB12" s="57"/>
      <c r="EC12" s="57"/>
    </row>
    <row r="13" spans="1:133" s="48" customFormat="1" ht="54" customHeight="1">
      <c r="A13" s="59" t="s">
        <v>40</v>
      </c>
      <c r="B13" s="60" t="s">
        <v>41</v>
      </c>
      <c r="C13" s="60" t="s">
        <v>42</v>
      </c>
      <c r="D13" s="60" t="s">
        <v>43</v>
      </c>
      <c r="E13" s="59">
        <v>2</v>
      </c>
      <c r="F13" s="59">
        <v>1</v>
      </c>
      <c r="G13" s="66" t="s">
        <v>22</v>
      </c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</row>
    <row r="14" spans="1:133" s="48" customFormat="1" ht="54" customHeight="1">
      <c r="A14" s="59" t="s">
        <v>44</v>
      </c>
      <c r="B14" s="60" t="s">
        <v>45</v>
      </c>
      <c r="C14" s="60" t="s">
        <v>46</v>
      </c>
      <c r="D14" s="66" t="s">
        <v>47</v>
      </c>
      <c r="E14" s="59">
        <v>2</v>
      </c>
      <c r="F14" s="59">
        <v>1</v>
      </c>
      <c r="G14" s="66" t="s">
        <v>48</v>
      </c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</row>
    <row r="15" spans="1:133" s="48" customFormat="1" ht="54" customHeight="1">
      <c r="A15" s="67" t="s">
        <v>49</v>
      </c>
      <c r="B15" s="66" t="s">
        <v>50</v>
      </c>
      <c r="C15" s="66" t="s">
        <v>51</v>
      </c>
      <c r="D15" s="66" t="s">
        <v>52</v>
      </c>
      <c r="E15" s="59">
        <v>2</v>
      </c>
      <c r="F15" s="59">
        <v>2</v>
      </c>
      <c r="G15" s="66" t="s">
        <v>18</v>
      </c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</row>
    <row r="16" spans="1:133" s="48" customFormat="1" ht="54" customHeight="1">
      <c r="A16" s="67" t="s">
        <v>53</v>
      </c>
      <c r="B16" s="66" t="s">
        <v>54</v>
      </c>
      <c r="C16" s="66" t="s">
        <v>55</v>
      </c>
      <c r="D16" s="66" t="s">
        <v>56</v>
      </c>
      <c r="E16" s="59">
        <v>3</v>
      </c>
      <c r="F16" s="59">
        <v>2</v>
      </c>
      <c r="G16" s="66" t="s">
        <v>57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</row>
    <row r="17" spans="1:133" s="48" customFormat="1" ht="54" customHeight="1">
      <c r="A17" s="59"/>
      <c r="B17" s="60"/>
      <c r="C17" s="60"/>
      <c r="D17" s="60"/>
      <c r="E17" s="59"/>
      <c r="F17" s="59"/>
      <c r="G17" s="60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57"/>
      <c r="CX17" s="57"/>
      <c r="CY17" s="57"/>
      <c r="CZ17" s="57"/>
      <c r="DA17" s="57"/>
      <c r="DB17" s="57"/>
      <c r="DC17" s="57"/>
      <c r="DD17" s="57"/>
      <c r="DE17" s="57"/>
      <c r="DF17" s="57"/>
      <c r="DG17" s="57"/>
      <c r="DH17" s="57"/>
      <c r="DI17" s="57"/>
      <c r="DJ17" s="57"/>
      <c r="DK17" s="57"/>
      <c r="DL17" s="57"/>
      <c r="DM17" s="57"/>
      <c r="DN17" s="57"/>
      <c r="DO17" s="57"/>
      <c r="DP17" s="57"/>
      <c r="DQ17" s="57"/>
      <c r="DR17" s="57"/>
      <c r="DS17" s="57"/>
      <c r="DT17" s="57"/>
      <c r="DU17" s="57"/>
      <c r="DV17" s="57"/>
      <c r="DW17" s="57"/>
      <c r="DX17" s="57"/>
      <c r="DY17" s="57"/>
      <c r="DZ17" s="57"/>
      <c r="EA17" s="57"/>
      <c r="EB17" s="57"/>
      <c r="EC17" s="57"/>
    </row>
    <row r="18" spans="1:133" s="48" customFormat="1" ht="54" customHeight="1">
      <c r="A18" s="59"/>
      <c r="B18" s="60"/>
      <c r="C18" s="60"/>
      <c r="D18" s="60"/>
      <c r="E18" s="59"/>
      <c r="F18" s="59"/>
      <c r="G18" s="60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7"/>
      <c r="DX18" s="57"/>
      <c r="DY18" s="57"/>
      <c r="DZ18" s="57"/>
      <c r="EA18" s="57"/>
      <c r="EB18" s="57"/>
      <c r="EC18" s="57"/>
    </row>
    <row r="19" spans="1:133" s="48" customFormat="1" ht="54" customHeight="1">
      <c r="A19" s="59"/>
      <c r="B19" s="60"/>
      <c r="C19" s="60"/>
      <c r="D19" s="60"/>
      <c r="E19" s="59"/>
      <c r="F19" s="59"/>
      <c r="G19" s="60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  <c r="DH19" s="57"/>
      <c r="DI19" s="57"/>
      <c r="DJ19" s="57"/>
      <c r="DK19" s="57"/>
      <c r="DL19" s="57"/>
      <c r="DM19" s="57"/>
      <c r="DN19" s="57"/>
      <c r="DO19" s="57"/>
      <c r="DP19" s="57"/>
      <c r="DQ19" s="57"/>
      <c r="DR19" s="57"/>
      <c r="DS19" s="57"/>
      <c r="DT19" s="57"/>
      <c r="DU19" s="57"/>
      <c r="DV19" s="57"/>
      <c r="DW19" s="57"/>
      <c r="DX19" s="57"/>
      <c r="DY19" s="57"/>
      <c r="DZ19" s="57"/>
      <c r="EA19" s="57"/>
      <c r="EB19" s="57"/>
      <c r="EC19" s="57"/>
    </row>
    <row r="20" spans="1:133" s="48" customFormat="1" ht="54" customHeight="1">
      <c r="A20" s="59"/>
      <c r="B20" s="60"/>
      <c r="C20" s="60"/>
      <c r="D20" s="60"/>
      <c r="E20" s="59"/>
      <c r="F20" s="59"/>
      <c r="G20" s="60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</row>
    <row r="21" spans="1:133" s="48" customFormat="1">
      <c r="A21" s="68"/>
      <c r="B21" s="68"/>
      <c r="C21" s="68"/>
      <c r="D21" s="68"/>
      <c r="E21" s="68"/>
      <c r="F21" s="68"/>
      <c r="G21" s="68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7"/>
      <c r="DL21" s="57"/>
      <c r="DM21" s="57"/>
      <c r="DN21" s="57"/>
      <c r="DO21" s="57"/>
      <c r="DP21" s="57"/>
      <c r="DQ21" s="57"/>
      <c r="DR21" s="57"/>
      <c r="DS21" s="57"/>
      <c r="DT21" s="57"/>
      <c r="DU21" s="57"/>
      <c r="DV21" s="57"/>
      <c r="DW21" s="57"/>
      <c r="DX21" s="57"/>
      <c r="DY21" s="57"/>
      <c r="DZ21" s="57"/>
      <c r="EA21" s="57"/>
      <c r="EB21" s="57"/>
      <c r="EC21" s="57"/>
    </row>
    <row r="22" spans="1:133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7"/>
      <c r="CF22" s="77"/>
      <c r="CG22" s="77"/>
      <c r="CH22" s="77"/>
      <c r="CI22" s="77"/>
      <c r="CJ22" s="77"/>
      <c r="CK22" s="77"/>
      <c r="CL22" s="77"/>
      <c r="CM22" s="77"/>
      <c r="CN22" s="77"/>
      <c r="CO22" s="77"/>
      <c r="CP22" s="77"/>
      <c r="CQ22" s="77"/>
      <c r="CR22" s="77"/>
      <c r="CS22" s="77"/>
      <c r="CT22" s="77"/>
      <c r="CU22" s="77"/>
      <c r="CV22" s="77"/>
      <c r="CW22" s="77"/>
      <c r="CX22" s="77"/>
      <c r="CY22" s="77"/>
      <c r="CZ22" s="77"/>
      <c r="DA22" s="77"/>
      <c r="DB22" s="77"/>
      <c r="DC22" s="77"/>
      <c r="DD22" s="77"/>
      <c r="DE22" s="77"/>
      <c r="DF22" s="77"/>
      <c r="DG22" s="77"/>
      <c r="DH22" s="77"/>
      <c r="DI22" s="77"/>
      <c r="DJ22" s="77"/>
      <c r="DK22" s="77"/>
      <c r="DL22" s="77"/>
      <c r="DM22" s="77"/>
      <c r="DN22" s="77"/>
      <c r="DO22" s="77"/>
      <c r="DP22" s="77"/>
      <c r="DQ22" s="77"/>
      <c r="DR22" s="77"/>
      <c r="DS22" s="77"/>
      <c r="DT22" s="77"/>
      <c r="DU22" s="77"/>
      <c r="DV22" s="77"/>
      <c r="DW22" s="77"/>
      <c r="DX22" s="77"/>
      <c r="DY22" s="77"/>
      <c r="DZ22" s="77"/>
      <c r="EA22" s="77"/>
      <c r="EB22" s="77"/>
      <c r="EC22" s="77"/>
    </row>
    <row r="23" spans="1:13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7"/>
      <c r="BV23" s="77"/>
      <c r="BW23" s="77"/>
      <c r="BX23" s="77"/>
      <c r="BY23" s="77"/>
      <c r="BZ23" s="77"/>
      <c r="CA23" s="77"/>
      <c r="CB23" s="77"/>
      <c r="CC23" s="77"/>
      <c r="CD23" s="77"/>
      <c r="CE23" s="77"/>
      <c r="CF23" s="77"/>
      <c r="CG23" s="77"/>
      <c r="CH23" s="77"/>
      <c r="CI23" s="77"/>
      <c r="CJ23" s="77"/>
      <c r="CK23" s="77"/>
      <c r="CL23" s="77"/>
      <c r="CM23" s="77"/>
      <c r="CN23" s="77"/>
      <c r="CO23" s="77"/>
      <c r="CP23" s="77"/>
      <c r="CQ23" s="77"/>
      <c r="CR23" s="77"/>
      <c r="CS23" s="77"/>
      <c r="CT23" s="77"/>
      <c r="CU23" s="77"/>
      <c r="CV23" s="77"/>
      <c r="CW23" s="77"/>
      <c r="CX23" s="77"/>
      <c r="CY23" s="77"/>
      <c r="CZ23" s="77"/>
      <c r="DA23" s="77"/>
      <c r="DB23" s="77"/>
      <c r="DC23" s="77"/>
      <c r="DD23" s="77"/>
      <c r="DE23" s="77"/>
      <c r="DF23" s="77"/>
      <c r="DG23" s="77"/>
      <c r="DH23" s="77"/>
      <c r="DI23" s="77"/>
      <c r="DJ23" s="77"/>
      <c r="DK23" s="77"/>
      <c r="DL23" s="77"/>
      <c r="DM23" s="77"/>
      <c r="DN23" s="77"/>
      <c r="DO23" s="77"/>
      <c r="DP23" s="77"/>
      <c r="DQ23" s="77"/>
      <c r="DR23" s="77"/>
      <c r="DS23" s="77"/>
      <c r="DT23" s="77"/>
      <c r="DU23" s="77"/>
      <c r="DV23" s="77"/>
      <c r="DW23" s="77"/>
      <c r="DX23" s="77"/>
      <c r="DY23" s="77"/>
      <c r="DZ23" s="77"/>
      <c r="EA23" s="77"/>
      <c r="EB23" s="77"/>
      <c r="EC23" s="77"/>
    </row>
    <row r="24" spans="1:133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  <c r="BU24" s="77"/>
      <c r="BV24" s="77"/>
      <c r="BW24" s="77"/>
      <c r="BX24" s="77"/>
      <c r="BY24" s="77"/>
      <c r="BZ24" s="77"/>
      <c r="CA24" s="77"/>
      <c r="CB24" s="77"/>
      <c r="CC24" s="77"/>
      <c r="CD24" s="77"/>
      <c r="CE24" s="77"/>
      <c r="CF24" s="77"/>
      <c r="CG24" s="77"/>
      <c r="CH24" s="77"/>
      <c r="CI24" s="77"/>
      <c r="CJ24" s="77"/>
      <c r="CK24" s="77"/>
      <c r="CL24" s="77"/>
      <c r="CM24" s="77"/>
      <c r="CN24" s="77"/>
      <c r="CO24" s="77"/>
      <c r="CP24" s="77"/>
      <c r="CQ24" s="77"/>
      <c r="CR24" s="77"/>
      <c r="CS24" s="77"/>
      <c r="CT24" s="77"/>
      <c r="CU24" s="77"/>
      <c r="CV24" s="77"/>
      <c r="CW24" s="77"/>
      <c r="CX24" s="77"/>
      <c r="CY24" s="77"/>
      <c r="CZ24" s="77"/>
      <c r="DA24" s="77"/>
      <c r="DB24" s="77"/>
      <c r="DC24" s="77"/>
      <c r="DD24" s="77"/>
      <c r="DE24" s="77"/>
      <c r="DF24" s="77"/>
      <c r="DG24" s="77"/>
      <c r="DH24" s="77"/>
      <c r="DI24" s="77"/>
      <c r="DJ24" s="77"/>
      <c r="DK24" s="77"/>
      <c r="DL24" s="77"/>
      <c r="DM24" s="77"/>
      <c r="DN24" s="77"/>
      <c r="DO24" s="77"/>
      <c r="DP24" s="77"/>
      <c r="DQ24" s="77"/>
      <c r="DR24" s="77"/>
      <c r="DS24" s="77"/>
      <c r="DT24" s="77"/>
      <c r="DU24" s="77"/>
      <c r="DV24" s="77"/>
      <c r="DW24" s="77"/>
      <c r="DX24" s="77"/>
      <c r="DY24" s="77"/>
      <c r="DZ24" s="77"/>
      <c r="EA24" s="77"/>
      <c r="EB24" s="77"/>
      <c r="EC24" s="77"/>
    </row>
  </sheetData>
  <autoFilter ref="B1:F1" xr:uid="{00000000-0009-0000-0000-000001000000}"/>
  <mergeCells count="1">
    <mergeCell ref="A2:F2"/>
  </mergeCells>
  <pageMargins left="0.75" right="0.75" top="1" bottom="1" header="0.5" footer="0.5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48"/>
  <sheetViews>
    <sheetView topLeftCell="C1" workbookViewId="0">
      <selection activeCell="E4" sqref="E4:J4"/>
    </sheetView>
  </sheetViews>
  <sheetFormatPr defaultColWidth="11.42578125" defaultRowHeight="12.75"/>
  <cols>
    <col min="1" max="1" width="6.85546875" style="5" customWidth="1"/>
    <col min="2" max="2" width="11.7109375" style="5" customWidth="1"/>
    <col min="3" max="3" width="33.85546875" style="6" customWidth="1"/>
    <col min="4" max="4" width="21.140625" style="6" customWidth="1"/>
    <col min="5" max="5" width="10.42578125" style="4" customWidth="1"/>
    <col min="6" max="12" width="11.42578125" style="4" customWidth="1"/>
    <col min="13" max="16" width="11.42578125" style="5" customWidth="1"/>
    <col min="17" max="16384" width="11.42578125" style="5"/>
  </cols>
  <sheetData>
    <row r="2" spans="1:19" ht="43.5" customHeight="1">
      <c r="A2" s="82" t="str">
        <f>CONCATENATE("Sprint #",E5, "Tracking Sheet")</f>
        <v>Sprint #1Tracking Sheet</v>
      </c>
      <c r="B2" s="83"/>
      <c r="C2" s="84"/>
      <c r="D2" s="84"/>
      <c r="E2" s="85"/>
      <c r="F2" s="85"/>
      <c r="G2" s="85"/>
      <c r="H2" s="85"/>
      <c r="I2" s="85"/>
      <c r="J2" s="85"/>
      <c r="K2" s="85"/>
      <c r="L2" s="85"/>
      <c r="M2" s="78"/>
      <c r="N2" s="78"/>
      <c r="O2" s="78"/>
      <c r="P2" s="78"/>
      <c r="Q2" s="78"/>
      <c r="R2" s="78"/>
      <c r="S2" s="78"/>
    </row>
    <row r="4" spans="1:19">
      <c r="A4" s="2"/>
      <c r="B4" s="78"/>
      <c r="C4" s="32" t="s">
        <v>15</v>
      </c>
      <c r="D4" s="49"/>
      <c r="E4" s="89" t="s">
        <v>16</v>
      </c>
      <c r="F4" s="90"/>
      <c r="G4" s="90"/>
      <c r="H4" s="90"/>
      <c r="I4" s="90"/>
      <c r="J4" s="91"/>
      <c r="K4" s="80"/>
      <c r="L4" s="80"/>
      <c r="M4" s="78"/>
      <c r="N4" s="78"/>
      <c r="O4" s="78"/>
      <c r="P4" s="78"/>
      <c r="Q4" s="78"/>
      <c r="R4" s="78"/>
      <c r="S4" s="78"/>
    </row>
    <row r="5" spans="1:19">
      <c r="A5" s="78"/>
      <c r="B5" s="78"/>
      <c r="C5" s="11" t="s">
        <v>30</v>
      </c>
      <c r="D5" s="11"/>
      <c r="E5" s="22">
        <v>1</v>
      </c>
      <c r="F5" s="80"/>
      <c r="G5" s="80"/>
      <c r="H5" s="80"/>
      <c r="I5" s="80"/>
      <c r="J5" s="80"/>
      <c r="K5" s="80"/>
      <c r="L5" s="80"/>
      <c r="M5" s="78"/>
      <c r="N5" s="78"/>
      <c r="O5" s="78"/>
      <c r="P5" s="78"/>
      <c r="Q5" s="78"/>
      <c r="R5" s="78"/>
      <c r="S5" s="78"/>
    </row>
    <row r="6" spans="1:19">
      <c r="A6" s="78"/>
      <c r="B6" s="78"/>
      <c r="C6" s="11" t="s">
        <v>58</v>
      </c>
      <c r="D6" s="11"/>
      <c r="E6" s="23">
        <v>46147</v>
      </c>
      <c r="F6" s="80"/>
      <c r="G6" s="80"/>
      <c r="H6" s="80"/>
      <c r="I6" s="80"/>
      <c r="J6" s="80"/>
      <c r="K6" s="80"/>
      <c r="L6" s="80"/>
      <c r="M6" s="78"/>
      <c r="N6" s="78"/>
      <c r="O6" s="78"/>
      <c r="P6" s="78"/>
      <c r="Q6" s="78"/>
      <c r="R6" s="78"/>
      <c r="S6" s="78"/>
    </row>
    <row r="7" spans="1:19" ht="13.5" customHeight="1" thickBot="1">
      <c r="A7" s="78"/>
      <c r="B7" s="78"/>
      <c r="C7" s="3"/>
      <c r="D7" s="11" t="s">
        <v>59</v>
      </c>
      <c r="E7" s="22">
        <v>5</v>
      </c>
      <c r="F7" s="80"/>
      <c r="G7" s="80"/>
      <c r="H7" s="80"/>
      <c r="I7" s="80"/>
      <c r="J7" s="80"/>
      <c r="K7" s="80"/>
      <c r="L7" s="80"/>
      <c r="M7" s="78"/>
      <c r="N7" s="78"/>
      <c r="O7" s="78"/>
      <c r="P7" s="78"/>
      <c r="Q7" s="78"/>
      <c r="R7" s="78"/>
      <c r="S7" s="78"/>
    </row>
    <row r="8" spans="1:19" ht="13.5" customHeight="1" thickBot="1">
      <c r="A8" s="78"/>
      <c r="B8" s="78"/>
      <c r="C8" s="79"/>
      <c r="D8" s="79"/>
      <c r="E8" s="80"/>
      <c r="F8" s="86" t="s">
        <v>60</v>
      </c>
      <c r="G8" s="87"/>
      <c r="H8" s="87"/>
      <c r="I8" s="87"/>
      <c r="J8" s="87"/>
      <c r="K8" s="87"/>
      <c r="L8" s="88"/>
      <c r="M8" s="86" t="s">
        <v>61</v>
      </c>
      <c r="N8" s="87"/>
      <c r="O8" s="87"/>
      <c r="P8" s="87"/>
      <c r="Q8" s="87"/>
      <c r="R8" s="87"/>
      <c r="S8" s="88"/>
    </row>
    <row r="9" spans="1:19" ht="12.75" customHeight="1" thickBot="1">
      <c r="A9" s="78"/>
      <c r="B9" s="78"/>
      <c r="C9" s="79"/>
      <c r="D9" s="79"/>
      <c r="E9" s="80"/>
      <c r="F9" s="54">
        <v>1</v>
      </c>
      <c r="G9" s="55">
        <v>2</v>
      </c>
      <c r="H9" s="54">
        <v>3</v>
      </c>
      <c r="I9" s="55">
        <v>4</v>
      </c>
      <c r="J9" s="54">
        <v>5</v>
      </c>
      <c r="K9" s="55">
        <v>6</v>
      </c>
      <c r="L9" s="54">
        <v>7</v>
      </c>
      <c r="M9" s="55">
        <v>8</v>
      </c>
      <c r="N9" s="54">
        <v>9</v>
      </c>
      <c r="O9" s="55">
        <v>10</v>
      </c>
      <c r="P9" s="54">
        <v>11</v>
      </c>
      <c r="Q9" s="55">
        <v>12</v>
      </c>
      <c r="R9" s="54">
        <v>13</v>
      </c>
      <c r="S9" s="55">
        <v>14</v>
      </c>
    </row>
    <row r="10" spans="1:19" s="3" customFormat="1" ht="27" customHeight="1">
      <c r="A10" s="17" t="s">
        <v>62</v>
      </c>
      <c r="B10" s="19" t="s">
        <v>63</v>
      </c>
      <c r="C10" s="18" t="s">
        <v>27</v>
      </c>
      <c r="D10" s="50" t="s">
        <v>31</v>
      </c>
      <c r="E10" s="20" t="s">
        <v>64</v>
      </c>
      <c r="F10" s="26">
        <f>E6</f>
        <v>46147</v>
      </c>
      <c r="G10" s="21">
        <f t="shared" ref="G10:S10" si="0">F10+1</f>
        <v>46148</v>
      </c>
      <c r="H10" s="21">
        <f t="shared" si="0"/>
        <v>46149</v>
      </c>
      <c r="I10" s="21">
        <f t="shared" si="0"/>
        <v>46150</v>
      </c>
      <c r="J10" s="21">
        <f t="shared" si="0"/>
        <v>46151</v>
      </c>
      <c r="K10" s="21">
        <f t="shared" si="0"/>
        <v>46152</v>
      </c>
      <c r="L10" s="21">
        <f t="shared" si="0"/>
        <v>46153</v>
      </c>
      <c r="M10" s="21">
        <f t="shared" si="0"/>
        <v>46154</v>
      </c>
      <c r="N10" s="21">
        <f t="shared" si="0"/>
        <v>46155</v>
      </c>
      <c r="O10" s="21">
        <f t="shared" si="0"/>
        <v>46156</v>
      </c>
      <c r="P10" s="21">
        <f t="shared" si="0"/>
        <v>46157</v>
      </c>
      <c r="Q10" s="21">
        <f t="shared" si="0"/>
        <v>46158</v>
      </c>
      <c r="R10" s="21">
        <f t="shared" si="0"/>
        <v>46159</v>
      </c>
      <c r="S10" s="21">
        <f t="shared" si="0"/>
        <v>46160</v>
      </c>
    </row>
    <row r="11" spans="1:19" s="31" customFormat="1">
      <c r="A11" s="27" t="s">
        <v>65</v>
      </c>
      <c r="B11" s="28" t="s">
        <v>36</v>
      </c>
      <c r="C11" s="29" t="s">
        <v>66</v>
      </c>
      <c r="D11" s="51" t="s">
        <v>67</v>
      </c>
      <c r="E11" s="64">
        <v>2</v>
      </c>
      <c r="F11" s="30">
        <v>1</v>
      </c>
      <c r="G11" s="30"/>
      <c r="H11" s="30">
        <v>2</v>
      </c>
      <c r="I11" s="30"/>
      <c r="J11" s="28"/>
      <c r="K11" s="28"/>
      <c r="L11" s="28"/>
      <c r="M11" s="30">
        <v>3</v>
      </c>
      <c r="N11" s="30"/>
      <c r="O11" s="30"/>
      <c r="P11" s="30">
        <v>3</v>
      </c>
      <c r="Q11" s="28"/>
      <c r="R11" s="28"/>
      <c r="S11" s="28"/>
    </row>
    <row r="12" spans="1:19" s="31" customFormat="1" ht="25.5" customHeight="1">
      <c r="A12" s="27" t="s">
        <v>68</v>
      </c>
      <c r="B12" s="28" t="s">
        <v>32</v>
      </c>
      <c r="C12" s="29" t="s">
        <v>69</v>
      </c>
      <c r="D12" s="51" t="s">
        <v>70</v>
      </c>
      <c r="E12" s="64">
        <v>6</v>
      </c>
      <c r="F12" s="30">
        <v>1</v>
      </c>
      <c r="G12" s="30">
        <v>2</v>
      </c>
      <c r="H12" s="30">
        <v>1</v>
      </c>
      <c r="I12" s="30">
        <v>1</v>
      </c>
      <c r="J12" s="28">
        <v>2</v>
      </c>
      <c r="K12" s="28">
        <v>1</v>
      </c>
      <c r="L12" s="28">
        <v>0</v>
      </c>
      <c r="M12" s="30">
        <v>1</v>
      </c>
      <c r="N12" s="30">
        <v>2</v>
      </c>
      <c r="O12" s="30">
        <v>1</v>
      </c>
      <c r="P12" s="30">
        <v>1</v>
      </c>
      <c r="Q12" s="28">
        <v>1</v>
      </c>
      <c r="R12" s="28">
        <v>2</v>
      </c>
      <c r="S12" s="28"/>
    </row>
    <row r="13" spans="1:19" s="31" customFormat="1">
      <c r="A13" s="27" t="s">
        <v>71</v>
      </c>
      <c r="B13" s="28" t="s">
        <v>32</v>
      </c>
      <c r="C13" s="29" t="s">
        <v>72</v>
      </c>
      <c r="D13" s="51" t="s">
        <v>73</v>
      </c>
      <c r="E13" s="64">
        <v>5</v>
      </c>
      <c r="F13" s="30"/>
      <c r="G13" s="28">
        <v>3</v>
      </c>
      <c r="H13" s="28">
        <v>2</v>
      </c>
      <c r="I13" s="28"/>
      <c r="J13" s="28"/>
      <c r="K13" s="28"/>
      <c r="L13" s="28"/>
      <c r="M13" s="30"/>
      <c r="N13" s="28">
        <v>2</v>
      </c>
      <c r="O13" s="28"/>
      <c r="P13" s="28"/>
      <c r="Q13" s="28"/>
      <c r="R13" s="28"/>
      <c r="S13" s="28"/>
    </row>
    <row r="14" spans="1:19" s="31" customFormat="1">
      <c r="A14" s="27" t="s">
        <v>74</v>
      </c>
      <c r="B14" s="28" t="s">
        <v>32</v>
      </c>
      <c r="C14" s="29" t="s">
        <v>75</v>
      </c>
      <c r="D14" s="51" t="s">
        <v>76</v>
      </c>
      <c r="E14" s="64">
        <v>5</v>
      </c>
      <c r="F14" s="30">
        <v>0</v>
      </c>
      <c r="G14" s="28">
        <v>1</v>
      </c>
      <c r="H14" s="28">
        <v>1</v>
      </c>
      <c r="I14" s="28">
        <v>2</v>
      </c>
      <c r="J14" s="28">
        <v>1</v>
      </c>
      <c r="K14" s="28">
        <v>1</v>
      </c>
      <c r="L14" s="28">
        <v>0</v>
      </c>
      <c r="M14" s="30">
        <v>1</v>
      </c>
      <c r="N14" s="28">
        <v>1</v>
      </c>
      <c r="O14" s="28">
        <v>1</v>
      </c>
      <c r="P14" s="28">
        <v>0</v>
      </c>
      <c r="Q14" s="28">
        <v>1</v>
      </c>
      <c r="R14" s="28">
        <v>1</v>
      </c>
      <c r="S14" s="28"/>
    </row>
    <row r="15" spans="1:19" s="31" customFormat="1">
      <c r="A15" s="27" t="s">
        <v>77</v>
      </c>
      <c r="B15" s="28" t="s">
        <v>44</v>
      </c>
      <c r="C15" s="29" t="s">
        <v>78</v>
      </c>
      <c r="D15" s="51" t="s">
        <v>79</v>
      </c>
      <c r="E15" s="64">
        <v>4</v>
      </c>
      <c r="F15" s="30"/>
      <c r="G15" s="28"/>
      <c r="H15" s="28"/>
      <c r="I15" s="28"/>
      <c r="J15" s="28"/>
      <c r="K15" s="28"/>
      <c r="L15" s="28"/>
      <c r="M15" s="30"/>
      <c r="N15" s="28"/>
      <c r="O15" s="28"/>
      <c r="P15" s="28"/>
      <c r="Q15" s="28"/>
      <c r="R15" s="28"/>
      <c r="S15" s="28"/>
    </row>
    <row r="16" spans="1:19" s="31" customFormat="1" ht="25.5" customHeight="1">
      <c r="A16" s="27" t="s">
        <v>80</v>
      </c>
      <c r="B16" s="28" t="s">
        <v>53</v>
      </c>
      <c r="C16" s="29" t="s">
        <v>81</v>
      </c>
      <c r="D16" s="51" t="s">
        <v>82</v>
      </c>
      <c r="E16" s="64">
        <v>2</v>
      </c>
      <c r="F16" s="30">
        <v>1</v>
      </c>
      <c r="G16" s="28">
        <v>1</v>
      </c>
      <c r="H16" s="28">
        <v>1</v>
      </c>
      <c r="I16" s="28">
        <v>1</v>
      </c>
      <c r="J16" s="28">
        <v>1</v>
      </c>
      <c r="K16" s="28">
        <v>1</v>
      </c>
      <c r="L16" s="28">
        <v>1</v>
      </c>
      <c r="M16" s="30">
        <v>1</v>
      </c>
      <c r="N16" s="28">
        <v>1</v>
      </c>
      <c r="O16" s="28">
        <v>1</v>
      </c>
      <c r="P16" s="28">
        <v>0</v>
      </c>
      <c r="Q16" s="28">
        <v>0</v>
      </c>
      <c r="R16" s="28">
        <v>0</v>
      </c>
      <c r="S16" s="28"/>
    </row>
    <row r="17" spans="1:19" s="8" customFormat="1">
      <c r="A17" s="27" t="s">
        <v>83</v>
      </c>
      <c r="B17" s="28" t="s">
        <v>32</v>
      </c>
      <c r="C17" s="61" t="s">
        <v>84</v>
      </c>
      <c r="D17" s="63" t="s">
        <v>85</v>
      </c>
      <c r="E17" s="64">
        <v>6</v>
      </c>
      <c r="F17" s="30">
        <v>1</v>
      </c>
      <c r="G17" s="24">
        <v>2</v>
      </c>
      <c r="H17" s="24">
        <v>2</v>
      </c>
      <c r="I17" s="24">
        <v>1</v>
      </c>
      <c r="J17" s="24">
        <v>1</v>
      </c>
      <c r="K17" s="24">
        <v>1</v>
      </c>
      <c r="L17" s="24">
        <v>0</v>
      </c>
      <c r="M17" s="30">
        <v>1</v>
      </c>
      <c r="N17" s="24">
        <v>0</v>
      </c>
      <c r="O17" s="24">
        <v>0</v>
      </c>
      <c r="P17" s="24">
        <v>1</v>
      </c>
      <c r="Q17" s="24">
        <v>1</v>
      </c>
      <c r="R17" s="24">
        <v>1</v>
      </c>
      <c r="S17" s="24"/>
    </row>
    <row r="18" spans="1:19" s="8" customFormat="1" ht="13.5" customHeight="1" thickBot="1">
      <c r="A18" s="56" t="s">
        <v>86</v>
      </c>
      <c r="B18" s="69" t="s">
        <v>32</v>
      </c>
      <c r="C18" s="62" t="s">
        <v>87</v>
      </c>
      <c r="D18" s="62" t="s">
        <v>82</v>
      </c>
      <c r="E18" s="65">
        <v>2</v>
      </c>
      <c r="F18" s="56">
        <v>0</v>
      </c>
      <c r="G18" s="25">
        <v>0</v>
      </c>
      <c r="H18" s="25">
        <v>1</v>
      </c>
      <c r="I18" s="25">
        <v>1</v>
      </c>
      <c r="J18" s="25">
        <v>1</v>
      </c>
      <c r="K18" s="25">
        <v>0</v>
      </c>
      <c r="L18" s="25">
        <v>1</v>
      </c>
      <c r="M18" s="56">
        <v>0</v>
      </c>
      <c r="N18" s="25">
        <v>1</v>
      </c>
      <c r="O18" s="25">
        <v>1</v>
      </c>
      <c r="P18" s="25">
        <v>1</v>
      </c>
      <c r="Q18" s="25">
        <v>1</v>
      </c>
      <c r="R18" s="25">
        <v>2</v>
      </c>
      <c r="S18" s="25"/>
    </row>
    <row r="19" spans="1:19" ht="25.5" customHeight="1">
      <c r="A19" s="27" t="s">
        <v>88</v>
      </c>
      <c r="B19" s="28" t="s">
        <v>32</v>
      </c>
      <c r="C19" s="61" t="s">
        <v>89</v>
      </c>
      <c r="D19" s="63" t="s">
        <v>82</v>
      </c>
      <c r="E19" s="64">
        <v>2</v>
      </c>
      <c r="F19" s="30">
        <v>0</v>
      </c>
      <c r="G19" s="24">
        <v>1</v>
      </c>
      <c r="H19" s="24">
        <v>0</v>
      </c>
      <c r="I19" s="24">
        <v>1</v>
      </c>
      <c r="J19" s="24">
        <v>1</v>
      </c>
      <c r="K19" s="24">
        <v>0</v>
      </c>
      <c r="L19" s="24">
        <v>1</v>
      </c>
      <c r="M19" s="30">
        <v>0</v>
      </c>
      <c r="N19" s="24">
        <v>1</v>
      </c>
      <c r="O19" s="24">
        <v>1</v>
      </c>
      <c r="P19" s="24">
        <v>1</v>
      </c>
      <c r="Q19" s="24">
        <v>1</v>
      </c>
      <c r="R19" s="24">
        <v>2</v>
      </c>
      <c r="S19" s="24"/>
    </row>
    <row r="20" spans="1:19" ht="26.25" customHeight="1" thickBot="1">
      <c r="A20" s="56" t="s">
        <v>90</v>
      </c>
      <c r="B20" s="69" t="s">
        <v>36</v>
      </c>
      <c r="C20" s="62" t="s">
        <v>91</v>
      </c>
      <c r="D20" s="62" t="s">
        <v>82</v>
      </c>
      <c r="E20" s="65">
        <v>3</v>
      </c>
      <c r="F20" s="56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56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/>
    </row>
    <row r="21" spans="1:19">
      <c r="A21" s="27" t="s">
        <v>92</v>
      </c>
      <c r="B21" s="28" t="s">
        <v>36</v>
      </c>
      <c r="C21" s="61" t="s">
        <v>93</v>
      </c>
      <c r="D21" s="63" t="s">
        <v>82</v>
      </c>
      <c r="E21" s="64">
        <v>2</v>
      </c>
      <c r="F21" s="30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30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/>
    </row>
    <row r="22" spans="1:19" ht="13.5" customHeight="1" thickBot="1">
      <c r="A22" s="56" t="s">
        <v>94</v>
      </c>
      <c r="B22" s="69" t="s">
        <v>32</v>
      </c>
      <c r="C22" s="62" t="s">
        <v>95</v>
      </c>
      <c r="D22" s="62" t="s">
        <v>82</v>
      </c>
      <c r="E22" s="65">
        <v>2</v>
      </c>
      <c r="F22" s="56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56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/>
    </row>
    <row r="23" spans="1:19" ht="13.5" customHeight="1" thickBot="1">
      <c r="A23" s="56" t="s">
        <v>96</v>
      </c>
      <c r="B23" s="69" t="s">
        <v>32</v>
      </c>
      <c r="C23" s="62" t="s">
        <v>97</v>
      </c>
      <c r="D23" s="62" t="s">
        <v>82</v>
      </c>
      <c r="E23" s="65">
        <v>1</v>
      </c>
      <c r="F23" s="56">
        <v>1</v>
      </c>
      <c r="G23" s="25">
        <v>1</v>
      </c>
      <c r="H23" s="25">
        <v>1</v>
      </c>
      <c r="I23" s="25">
        <v>1</v>
      </c>
      <c r="J23" s="25">
        <v>1</v>
      </c>
      <c r="K23" s="25">
        <v>1</v>
      </c>
      <c r="L23" s="25">
        <v>1</v>
      </c>
      <c r="M23" s="56">
        <v>1</v>
      </c>
      <c r="N23" s="25">
        <v>1</v>
      </c>
      <c r="O23" s="25">
        <v>1</v>
      </c>
      <c r="P23" s="25">
        <v>1</v>
      </c>
      <c r="Q23" s="25">
        <v>1</v>
      </c>
      <c r="R23" s="25">
        <v>2</v>
      </c>
      <c r="S23" s="25"/>
    </row>
    <row r="24" spans="1:19">
      <c r="A24" s="78"/>
      <c r="B24" s="78"/>
      <c r="C24" s="12" t="s">
        <v>98</v>
      </c>
      <c r="D24" s="52"/>
      <c r="E24" s="92">
        <v>42</v>
      </c>
      <c r="F24" s="9">
        <f>IF(SUM(F11:F23)&gt;0,E24-SUM(F11:F23),NA())</f>
        <v>37</v>
      </c>
      <c r="G24" s="9">
        <f>IF(SUM(G11:G23)&gt;0,E24-SUM(F11:G23),NA())</f>
        <v>26</v>
      </c>
      <c r="H24" s="9">
        <f>IF(SUM(H11:H23)&gt;0,F24-SUM(G11:H23),NA())</f>
        <v>15</v>
      </c>
      <c r="I24" s="9">
        <f>IF(SUM(I11:I23)&gt;0,E24-SUM(F11:I23),NA())</f>
        <v>7</v>
      </c>
      <c r="J24" s="9">
        <f>IF(SUM(J11:J23)&gt;0,E24-SUM(F11:J23),NA())</f>
        <v>-1</v>
      </c>
      <c r="K24" s="9">
        <f>IF(SUM(K11:K23)&gt;0,E24-SUM(F11:K23),NA())</f>
        <v>-6</v>
      </c>
      <c r="L24" s="9">
        <f>IF(SUM(L11:L23)&gt;0,E24-SUM(F11:L23),NA())</f>
        <v>-10</v>
      </c>
      <c r="M24" s="9">
        <f>IF(SUM(M11:M23)&gt;0,E24-SUM(F11:M23),NA())</f>
        <v>-18</v>
      </c>
      <c r="N24" s="9">
        <f>IF(SUM(N11:N23)&gt;0,E24-SUM(F11:N23),NA())</f>
        <v>-27</v>
      </c>
      <c r="O24" s="9">
        <f>IF(SUM(O11:O23)&gt;0,E24-SUM(F11:O23),NA())</f>
        <v>-33</v>
      </c>
      <c r="P24" s="9">
        <f>IF(SUM(P11:P23)&gt;0,E24-SUM(F11:P23),NA())</f>
        <v>-41</v>
      </c>
      <c r="Q24" s="9">
        <f>IF(SUM(Q11:Q23)&gt;0,E24-SUM(F11:Q23),NA())</f>
        <v>-47</v>
      </c>
      <c r="R24" s="9">
        <f>IF(SUM(R11:R23)&gt;0,E24-SUM(F11:R23),NA())</f>
        <v>-57</v>
      </c>
      <c r="S24" s="9" t="e">
        <f>IF(SUM(S11:S23)&gt;0,E24-SUM(F11:S23),NA())</f>
        <v>#N/A</v>
      </c>
    </row>
    <row r="25" spans="1:19">
      <c r="A25" s="78"/>
      <c r="B25" s="78"/>
      <c r="C25" s="12" t="s">
        <v>99</v>
      </c>
      <c r="D25" s="53"/>
      <c r="E25" s="93"/>
      <c r="F25" s="10">
        <f>E24-(E24/14)</f>
        <v>39</v>
      </c>
      <c r="G25" s="10">
        <f>F25-(E24/14)</f>
        <v>36</v>
      </c>
      <c r="H25" s="10">
        <f>G25-(E24/14)</f>
        <v>33</v>
      </c>
      <c r="I25" s="10">
        <f>H25-(E24/14)</f>
        <v>30</v>
      </c>
      <c r="J25" s="10">
        <f>I25-(E24/14)</f>
        <v>27</v>
      </c>
      <c r="K25" s="10">
        <f>J25-(E24/14)</f>
        <v>24</v>
      </c>
      <c r="L25" s="10">
        <f>K25-(E24/14)</f>
        <v>21</v>
      </c>
      <c r="M25" s="10">
        <f>L25-(E24/14)</f>
        <v>18</v>
      </c>
      <c r="N25" s="10">
        <f>M25-(E24/14)</f>
        <v>15</v>
      </c>
      <c r="O25" s="10">
        <f>N25-(E24/14)</f>
        <v>12</v>
      </c>
      <c r="P25" s="10">
        <f>O25-(E24/14)</f>
        <v>9</v>
      </c>
      <c r="Q25" s="10">
        <f>P25-(E24/14)</f>
        <v>6</v>
      </c>
      <c r="R25" s="10">
        <f>Q25-(E24/14)</f>
        <v>3</v>
      </c>
      <c r="S25" s="10">
        <f>R25-(E24/14)</f>
        <v>0</v>
      </c>
    </row>
    <row r="26" spans="1:19">
      <c r="A26" s="78"/>
      <c r="B26" s="78"/>
      <c r="C26" s="79"/>
      <c r="D26" s="79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</row>
    <row r="27" spans="1:19">
      <c r="A27" s="78"/>
      <c r="B27" s="78"/>
      <c r="C27" s="79"/>
      <c r="D27" s="79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</row>
    <row r="28" spans="1:19">
      <c r="A28" s="78"/>
      <c r="B28" s="78"/>
      <c r="C28" s="79"/>
      <c r="D28" s="79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</row>
    <row r="29" spans="1:19">
      <c r="A29" s="78"/>
      <c r="B29" s="78"/>
      <c r="C29" s="79"/>
      <c r="D29" s="79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</row>
    <row r="30" spans="1:19">
      <c r="A30" s="78"/>
      <c r="B30" s="78"/>
      <c r="C30" s="79"/>
      <c r="D30" s="79"/>
      <c r="E30" s="80"/>
      <c r="F30" s="80"/>
      <c r="G30" s="80"/>
      <c r="H30" s="80"/>
      <c r="I30" s="80"/>
      <c r="J30" s="80"/>
      <c r="K30" s="7">
        <v>0</v>
      </c>
      <c r="L30" s="80">
        <f>SUM(E11:E19)</f>
        <v>34</v>
      </c>
      <c r="M30" s="80"/>
      <c r="N30" s="80"/>
      <c r="O30" s="80"/>
      <c r="P30" s="80"/>
      <c r="Q30" s="80"/>
      <c r="R30" s="7">
        <v>0</v>
      </c>
      <c r="S30" s="80"/>
    </row>
    <row r="31" spans="1:19">
      <c r="A31" s="78"/>
      <c r="B31" s="78"/>
      <c r="C31" s="79"/>
      <c r="D31" s="79"/>
      <c r="E31" s="80"/>
      <c r="F31" s="80"/>
      <c r="G31" s="80"/>
      <c r="H31" s="80"/>
      <c r="I31" s="80"/>
      <c r="J31" s="80"/>
      <c r="K31" s="7">
        <v>10</v>
      </c>
      <c r="L31" s="7">
        <v>0</v>
      </c>
      <c r="M31" s="80"/>
      <c r="N31" s="80"/>
      <c r="O31" s="80"/>
      <c r="P31" s="80"/>
      <c r="Q31" s="80"/>
      <c r="R31" s="7">
        <v>10</v>
      </c>
      <c r="S31" s="7"/>
    </row>
    <row r="32" spans="1:19">
      <c r="A32" s="78"/>
      <c r="B32" s="78"/>
      <c r="C32" s="79"/>
      <c r="D32" s="79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</row>
    <row r="33" spans="13:19">
      <c r="M33" s="80"/>
      <c r="N33" s="80"/>
      <c r="O33" s="80"/>
      <c r="P33" s="80"/>
      <c r="Q33" s="80"/>
      <c r="R33" s="80"/>
      <c r="S33" s="80"/>
    </row>
    <row r="34" spans="13:19">
      <c r="M34" s="80"/>
      <c r="N34" s="80"/>
      <c r="O34" s="80"/>
      <c r="P34" s="80"/>
      <c r="Q34" s="80"/>
      <c r="R34" s="80"/>
      <c r="S34" s="80"/>
    </row>
    <row r="35" spans="13:19">
      <c r="M35" s="80"/>
      <c r="N35" s="80"/>
      <c r="O35" s="80"/>
      <c r="P35" s="80"/>
      <c r="Q35" s="80"/>
      <c r="R35" s="80"/>
      <c r="S35" s="80"/>
    </row>
    <row r="36" spans="13:19">
      <c r="M36" s="80"/>
      <c r="N36" s="80"/>
      <c r="O36" s="80"/>
      <c r="P36" s="80"/>
      <c r="Q36" s="80"/>
      <c r="R36" s="80"/>
      <c r="S36" s="80"/>
    </row>
    <row r="37" spans="13:19">
      <c r="M37" s="80"/>
      <c r="N37" s="80"/>
      <c r="O37" s="80"/>
      <c r="P37" s="80"/>
      <c r="Q37" s="80"/>
      <c r="R37" s="80"/>
      <c r="S37" s="80"/>
    </row>
    <row r="38" spans="13:19">
      <c r="M38" s="80"/>
      <c r="N38" s="80"/>
      <c r="O38" s="80"/>
      <c r="P38" s="80"/>
      <c r="Q38" s="80"/>
      <c r="R38" s="80"/>
      <c r="S38" s="80"/>
    </row>
    <row r="39" spans="13:19">
      <c r="M39" s="80"/>
      <c r="N39" s="80"/>
      <c r="O39" s="80"/>
      <c r="P39" s="80"/>
      <c r="Q39" s="80"/>
      <c r="R39" s="80"/>
      <c r="S39" s="80"/>
    </row>
    <row r="40" spans="13:19">
      <c r="M40" s="80"/>
      <c r="N40" s="80"/>
      <c r="O40" s="80"/>
      <c r="P40" s="80"/>
      <c r="Q40" s="80"/>
      <c r="R40" s="80"/>
      <c r="S40" s="80"/>
    </row>
    <row r="41" spans="13:19">
      <c r="M41" s="80"/>
      <c r="N41" s="80"/>
      <c r="O41" s="80"/>
      <c r="P41" s="80"/>
      <c r="Q41" s="80"/>
      <c r="R41" s="80"/>
      <c r="S41" s="80"/>
    </row>
    <row r="42" spans="13:19">
      <c r="M42" s="80"/>
      <c r="N42" s="80"/>
      <c r="O42" s="80"/>
      <c r="P42" s="80"/>
      <c r="Q42" s="80"/>
      <c r="R42" s="80"/>
      <c r="S42" s="80"/>
    </row>
    <row r="43" spans="13:19">
      <c r="M43" s="80"/>
      <c r="N43" s="80"/>
      <c r="O43" s="80"/>
      <c r="P43" s="80"/>
      <c r="Q43" s="80"/>
      <c r="R43" s="80"/>
      <c r="S43" s="80"/>
    </row>
    <row r="44" spans="13:19">
      <c r="M44" s="80"/>
      <c r="N44" s="80"/>
      <c r="O44" s="80"/>
      <c r="P44" s="80"/>
      <c r="Q44" s="80"/>
      <c r="R44" s="80"/>
      <c r="S44" s="80"/>
    </row>
    <row r="45" spans="13:19">
      <c r="M45" s="80"/>
      <c r="N45" s="80"/>
      <c r="O45" s="80"/>
      <c r="P45" s="80"/>
      <c r="Q45" s="80"/>
      <c r="R45" s="80"/>
      <c r="S45" s="80"/>
    </row>
    <row r="46" spans="13:19">
      <c r="M46" s="80"/>
      <c r="N46" s="80"/>
      <c r="O46" s="80"/>
      <c r="P46" s="80"/>
      <c r="Q46" s="80"/>
      <c r="R46" s="80"/>
      <c r="S46" s="80"/>
    </row>
    <row r="47" spans="13:19">
      <c r="M47" s="80"/>
      <c r="N47" s="80"/>
      <c r="O47" s="80"/>
      <c r="P47" s="80"/>
      <c r="Q47" s="80"/>
      <c r="R47" s="80"/>
      <c r="S47" s="80"/>
    </row>
    <row r="48" spans="13:19">
      <c r="M48" s="80"/>
      <c r="N48" s="80"/>
      <c r="O48" s="80"/>
      <c r="P48" s="80"/>
      <c r="Q48" s="80"/>
      <c r="R48" s="80"/>
      <c r="S48" s="80"/>
    </row>
  </sheetData>
  <autoFilter ref="A10:E10" xr:uid="{00000000-0009-0000-0000-000002000000}"/>
  <mergeCells count="5">
    <mergeCell ref="A2:L2"/>
    <mergeCell ref="F8:L8"/>
    <mergeCell ref="M8:S8"/>
    <mergeCell ref="E4:J4"/>
    <mergeCell ref="E24:E2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48"/>
  <sheetViews>
    <sheetView tabSelected="1" workbookViewId="0">
      <selection activeCell="E4" sqref="E4:J4"/>
    </sheetView>
  </sheetViews>
  <sheetFormatPr defaultColWidth="11.42578125" defaultRowHeight="12.75"/>
  <cols>
    <col min="1" max="2" width="6.85546875" style="5" customWidth="1"/>
    <col min="3" max="3" width="33.85546875" style="6" customWidth="1"/>
    <col min="4" max="4" width="21.140625" style="6" customWidth="1"/>
    <col min="5" max="5" width="10.42578125" style="4" customWidth="1"/>
    <col min="6" max="12" width="11.42578125" style="4" customWidth="1"/>
    <col min="13" max="16" width="11.42578125" style="5" customWidth="1"/>
    <col min="17" max="16384" width="11.42578125" style="5"/>
  </cols>
  <sheetData>
    <row r="2" spans="1:19" ht="43.5" customHeight="1">
      <c r="A2" s="82" t="str">
        <f>CONCATENATE("Sprint #",E5, "Tracking Sheet")</f>
        <v>Sprint #2Tracking Sheet</v>
      </c>
      <c r="B2" s="83"/>
      <c r="C2" s="84"/>
      <c r="D2" s="84"/>
      <c r="E2" s="85"/>
      <c r="F2" s="85"/>
      <c r="G2" s="85"/>
      <c r="H2" s="85"/>
      <c r="I2" s="85"/>
      <c r="J2" s="85"/>
      <c r="K2" s="85"/>
      <c r="L2" s="85"/>
      <c r="M2" s="78"/>
      <c r="N2" s="78"/>
      <c r="O2" s="78"/>
      <c r="P2" s="78"/>
      <c r="Q2" s="78"/>
      <c r="R2" s="78"/>
      <c r="S2" s="78"/>
    </row>
    <row r="4" spans="1:19">
      <c r="A4" s="2"/>
      <c r="B4" s="78"/>
      <c r="C4" s="32" t="s">
        <v>15</v>
      </c>
      <c r="D4" s="49"/>
      <c r="E4" s="89" t="s">
        <v>16</v>
      </c>
      <c r="F4" s="90"/>
      <c r="G4" s="90"/>
      <c r="H4" s="90"/>
      <c r="I4" s="90"/>
      <c r="J4" s="91"/>
      <c r="K4" s="80"/>
      <c r="L4" s="80"/>
      <c r="M4" s="78"/>
      <c r="N4" s="78"/>
      <c r="O4" s="78"/>
      <c r="P4" s="78"/>
      <c r="Q4" s="78"/>
      <c r="R4" s="78"/>
      <c r="S4" s="78"/>
    </row>
    <row r="5" spans="1:19">
      <c r="A5" s="78"/>
      <c r="B5" s="78"/>
      <c r="C5" s="11" t="s">
        <v>30</v>
      </c>
      <c r="D5" s="11"/>
      <c r="E5" s="22">
        <v>2</v>
      </c>
      <c r="F5" s="80"/>
      <c r="G5" s="80"/>
      <c r="H5" s="80"/>
      <c r="I5" s="80"/>
      <c r="J5" s="80"/>
      <c r="K5" s="80"/>
      <c r="L5" s="80"/>
      <c r="M5" s="78"/>
      <c r="N5" s="78"/>
      <c r="O5" s="78"/>
      <c r="P5" s="78"/>
      <c r="Q5" s="78"/>
      <c r="R5" s="78"/>
      <c r="S5" s="78"/>
    </row>
    <row r="6" spans="1:19">
      <c r="A6" s="78"/>
      <c r="B6" s="78"/>
      <c r="C6" s="11" t="s">
        <v>58</v>
      </c>
      <c r="D6" s="11"/>
      <c r="E6" s="23"/>
      <c r="F6" s="80"/>
      <c r="G6" s="80"/>
      <c r="H6" s="80"/>
      <c r="I6" s="80"/>
      <c r="J6" s="80"/>
      <c r="K6" s="80"/>
      <c r="L6" s="80"/>
      <c r="M6" s="78"/>
      <c r="N6" s="78"/>
      <c r="O6" s="78"/>
      <c r="P6" s="78"/>
      <c r="Q6" s="78"/>
      <c r="R6" s="78"/>
      <c r="S6" s="78"/>
    </row>
    <row r="7" spans="1:19" ht="13.5" customHeight="1" thickBot="1">
      <c r="A7" s="78"/>
      <c r="B7" s="78"/>
      <c r="C7" s="3"/>
      <c r="D7" s="11" t="s">
        <v>59</v>
      </c>
      <c r="E7" s="22" t="s">
        <v>100</v>
      </c>
      <c r="F7" s="80"/>
      <c r="G7" s="80"/>
      <c r="H7" s="80"/>
      <c r="I7" s="80"/>
      <c r="J7" s="80"/>
      <c r="K7" s="80"/>
      <c r="L7" s="80"/>
      <c r="M7" s="78"/>
      <c r="N7" s="78"/>
      <c r="O7" s="78"/>
      <c r="P7" s="78"/>
      <c r="Q7" s="78"/>
      <c r="R7" s="78"/>
      <c r="S7" s="78"/>
    </row>
    <row r="8" spans="1:19" ht="13.5" customHeight="1" thickBot="1">
      <c r="A8" s="78"/>
      <c r="B8" s="78"/>
      <c r="C8" s="79"/>
      <c r="D8" s="79"/>
      <c r="E8" s="80"/>
      <c r="F8" s="86" t="s">
        <v>60</v>
      </c>
      <c r="G8" s="87"/>
      <c r="H8" s="87"/>
      <c r="I8" s="87"/>
      <c r="J8" s="87"/>
      <c r="K8" s="87"/>
      <c r="L8" s="88"/>
      <c r="M8" s="86" t="s">
        <v>61</v>
      </c>
      <c r="N8" s="87"/>
      <c r="O8" s="87"/>
      <c r="P8" s="87"/>
      <c r="Q8" s="87"/>
      <c r="R8" s="87"/>
      <c r="S8" s="88"/>
    </row>
    <row r="9" spans="1:19" ht="12.75" customHeight="1" thickBot="1">
      <c r="A9" s="78"/>
      <c r="B9" s="78"/>
      <c r="C9" s="79"/>
      <c r="D9" s="79"/>
      <c r="E9" s="80"/>
      <c r="F9" s="54">
        <v>1</v>
      </c>
      <c r="G9" s="55">
        <v>2</v>
      </c>
      <c r="H9" s="54">
        <v>3</v>
      </c>
      <c r="I9" s="55">
        <v>4</v>
      </c>
      <c r="J9" s="54">
        <v>5</v>
      </c>
      <c r="K9" s="55">
        <v>6</v>
      </c>
      <c r="L9" s="54">
        <v>7</v>
      </c>
      <c r="M9" s="55">
        <v>8</v>
      </c>
      <c r="N9" s="54">
        <v>9</v>
      </c>
      <c r="O9" s="55">
        <v>10</v>
      </c>
      <c r="P9" s="54">
        <v>11</v>
      </c>
      <c r="Q9" s="55">
        <v>12</v>
      </c>
      <c r="R9" s="54">
        <v>13</v>
      </c>
      <c r="S9" s="55">
        <v>14</v>
      </c>
    </row>
    <row r="10" spans="1:19" s="3" customFormat="1" ht="27" customHeight="1">
      <c r="A10" s="70" t="s">
        <v>62</v>
      </c>
      <c r="B10" s="71" t="s">
        <v>63</v>
      </c>
      <c r="C10" s="72" t="s">
        <v>27</v>
      </c>
      <c r="D10" s="73" t="s">
        <v>31</v>
      </c>
      <c r="E10" s="74" t="s">
        <v>64</v>
      </c>
      <c r="F10" s="75">
        <f>E6</f>
        <v>0</v>
      </c>
      <c r="G10" s="76">
        <f t="shared" ref="G10:S10" si="0">F10+1</f>
        <v>1</v>
      </c>
      <c r="H10" s="76">
        <f t="shared" si="0"/>
        <v>2</v>
      </c>
      <c r="I10" s="76">
        <f t="shared" si="0"/>
        <v>3</v>
      </c>
      <c r="J10" s="76">
        <f t="shared" si="0"/>
        <v>4</v>
      </c>
      <c r="K10" s="76">
        <f t="shared" si="0"/>
        <v>5</v>
      </c>
      <c r="L10" s="76">
        <f t="shared" si="0"/>
        <v>6</v>
      </c>
      <c r="M10" s="76">
        <f t="shared" si="0"/>
        <v>7</v>
      </c>
      <c r="N10" s="76">
        <f t="shared" si="0"/>
        <v>8</v>
      </c>
      <c r="O10" s="76">
        <f t="shared" si="0"/>
        <v>9</v>
      </c>
      <c r="P10" s="76">
        <f t="shared" si="0"/>
        <v>10</v>
      </c>
      <c r="Q10" s="76">
        <f t="shared" si="0"/>
        <v>11</v>
      </c>
      <c r="R10" s="76">
        <f t="shared" si="0"/>
        <v>12</v>
      </c>
      <c r="S10" s="76">
        <f t="shared" si="0"/>
        <v>13</v>
      </c>
    </row>
    <row r="11" spans="1:19" s="31" customFormat="1">
      <c r="A11" s="27"/>
      <c r="B11" s="28"/>
      <c r="C11" s="29"/>
      <c r="D11" s="51"/>
      <c r="E11" s="64"/>
      <c r="F11" s="30"/>
      <c r="G11" s="30"/>
      <c r="H11" s="30"/>
      <c r="I11" s="30"/>
      <c r="J11" s="28"/>
      <c r="K11" s="28"/>
      <c r="L11" s="28"/>
      <c r="M11" s="30"/>
      <c r="N11" s="30"/>
      <c r="O11" s="30"/>
      <c r="P11" s="30"/>
      <c r="Q11" s="28"/>
      <c r="R11" s="28"/>
      <c r="S11" s="28"/>
    </row>
    <row r="12" spans="1:19" s="31" customFormat="1">
      <c r="A12" s="27"/>
      <c r="B12" s="28"/>
      <c r="C12" s="29"/>
      <c r="D12" s="51"/>
      <c r="E12" s="64"/>
      <c r="F12" s="30"/>
      <c r="G12" s="30"/>
      <c r="H12" s="30"/>
      <c r="I12" s="30"/>
      <c r="J12" s="28"/>
      <c r="K12" s="28"/>
      <c r="L12" s="28"/>
      <c r="M12" s="30"/>
      <c r="N12" s="30"/>
      <c r="O12" s="30"/>
      <c r="P12" s="30"/>
      <c r="Q12" s="28"/>
      <c r="R12" s="28"/>
      <c r="S12" s="28"/>
    </row>
    <row r="13" spans="1:19" s="31" customFormat="1">
      <c r="A13" s="27"/>
      <c r="B13" s="28"/>
      <c r="C13" s="29"/>
      <c r="D13" s="51"/>
      <c r="E13" s="64"/>
      <c r="F13" s="30"/>
      <c r="G13" s="28"/>
      <c r="H13" s="28"/>
      <c r="I13" s="28"/>
      <c r="J13" s="28"/>
      <c r="K13" s="28"/>
      <c r="L13" s="28"/>
      <c r="M13" s="30"/>
      <c r="N13" s="28"/>
      <c r="O13" s="28"/>
      <c r="P13" s="28"/>
      <c r="Q13" s="28"/>
      <c r="R13" s="28"/>
      <c r="S13" s="28"/>
    </row>
    <row r="14" spans="1:19" s="31" customFormat="1">
      <c r="A14" s="27"/>
      <c r="B14" s="28"/>
      <c r="C14" s="29"/>
      <c r="D14" s="51"/>
      <c r="E14" s="64"/>
      <c r="F14" s="30"/>
      <c r="G14" s="28"/>
      <c r="H14" s="28"/>
      <c r="I14" s="28"/>
      <c r="J14" s="28"/>
      <c r="K14" s="28"/>
      <c r="L14" s="28"/>
      <c r="M14" s="30"/>
      <c r="N14" s="28"/>
      <c r="O14" s="28"/>
      <c r="P14" s="28"/>
      <c r="Q14" s="28"/>
      <c r="R14" s="28"/>
      <c r="S14" s="28"/>
    </row>
    <row r="15" spans="1:19" s="31" customFormat="1">
      <c r="A15" s="27"/>
      <c r="B15" s="28"/>
      <c r="C15" s="29"/>
      <c r="D15" s="51"/>
      <c r="E15" s="64"/>
      <c r="F15" s="30"/>
      <c r="G15" s="28"/>
      <c r="H15" s="28"/>
      <c r="I15" s="28"/>
      <c r="J15" s="28"/>
      <c r="K15" s="28"/>
      <c r="L15" s="28"/>
      <c r="M15" s="30"/>
      <c r="N15" s="28"/>
      <c r="O15" s="28"/>
      <c r="P15" s="28"/>
      <c r="Q15" s="28"/>
      <c r="R15" s="28"/>
      <c r="S15" s="28"/>
    </row>
    <row r="16" spans="1:19" s="31" customFormat="1">
      <c r="A16" s="27"/>
      <c r="B16" s="28"/>
      <c r="C16" s="29"/>
      <c r="D16" s="51"/>
      <c r="E16" s="64"/>
      <c r="F16" s="30"/>
      <c r="G16" s="28"/>
      <c r="H16" s="28"/>
      <c r="I16" s="28"/>
      <c r="J16" s="28"/>
      <c r="K16" s="28"/>
      <c r="L16" s="28"/>
      <c r="M16" s="30"/>
      <c r="N16" s="28"/>
      <c r="O16" s="28"/>
      <c r="P16" s="28"/>
      <c r="Q16" s="28"/>
      <c r="R16" s="28"/>
      <c r="S16" s="28"/>
    </row>
    <row r="17" spans="1:19" s="8" customFormat="1">
      <c r="A17" s="27"/>
      <c r="B17" s="28"/>
      <c r="C17" s="61"/>
      <c r="D17" s="63"/>
      <c r="E17" s="64"/>
      <c r="F17" s="30"/>
      <c r="G17" s="24"/>
      <c r="H17" s="24"/>
      <c r="I17" s="24"/>
      <c r="J17" s="24"/>
      <c r="K17" s="24"/>
      <c r="L17" s="24"/>
      <c r="M17" s="30"/>
      <c r="N17" s="24"/>
      <c r="O17" s="24"/>
      <c r="P17" s="24"/>
      <c r="Q17" s="24"/>
      <c r="R17" s="24"/>
      <c r="S17" s="24"/>
    </row>
    <row r="18" spans="1:19" s="8" customFormat="1" ht="13.5" customHeight="1" thickBot="1">
      <c r="A18" s="56"/>
      <c r="B18" s="69"/>
      <c r="C18" s="62"/>
      <c r="D18" s="62"/>
      <c r="E18" s="65"/>
      <c r="F18" s="56"/>
      <c r="G18" s="25"/>
      <c r="H18" s="25"/>
      <c r="I18" s="25"/>
      <c r="J18" s="25"/>
      <c r="K18" s="25"/>
      <c r="L18" s="25"/>
      <c r="M18" s="56"/>
      <c r="N18" s="25"/>
      <c r="O18" s="25"/>
      <c r="P18" s="25"/>
      <c r="Q18" s="25"/>
      <c r="R18" s="25"/>
      <c r="S18" s="25"/>
    </row>
    <row r="19" spans="1:19">
      <c r="A19" s="2"/>
      <c r="B19" s="2"/>
      <c r="C19"/>
      <c r="D19"/>
      <c r="E19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</row>
    <row r="20" spans="1:19">
      <c r="A20" s="2"/>
      <c r="B20" s="2"/>
      <c r="C20"/>
      <c r="D20"/>
      <c r="E2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</row>
    <row r="21" spans="1:19">
      <c r="A21" s="2"/>
      <c r="B21" s="2"/>
      <c r="C21" s="79"/>
      <c r="D21" s="79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</row>
    <row r="22" spans="1:19">
      <c r="A22" s="2"/>
      <c r="B22" s="2"/>
      <c r="C22" s="79"/>
      <c r="D22" s="79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</row>
    <row r="23" spans="1:19">
      <c r="A23" s="2"/>
      <c r="B23" s="2"/>
      <c r="C23" s="79"/>
      <c r="D23" s="79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</row>
    <row r="24" spans="1:19">
      <c r="A24" s="78"/>
      <c r="B24" s="78"/>
      <c r="C24" s="12" t="s">
        <v>98</v>
      </c>
      <c r="D24" s="52"/>
      <c r="E24" s="92" t="e">
        <f>8*2*E7</f>
        <v>#VALUE!</v>
      </c>
      <c r="F24" s="9" t="e">
        <f>IF(SUM(F11:F23)&gt;0,E24-SUM(F11:F23),NA())</f>
        <v>#N/A</v>
      </c>
      <c r="G24" s="9" t="e">
        <f>IF(SUM(G11:G23)&gt;0,E24-SUM(F11:G23),NA())</f>
        <v>#N/A</v>
      </c>
      <c r="H24" s="9" t="e">
        <f>IF(SUM(H11:H23)&gt;0,F24-SUM(G11:H23),NA())</f>
        <v>#N/A</v>
      </c>
      <c r="I24" s="9" t="e">
        <f>IF(SUM(I11:I23)&gt;0,E24-SUM(F11:I23),NA())</f>
        <v>#N/A</v>
      </c>
      <c r="J24" s="9" t="e">
        <f>IF(SUM(J11:J23)&gt;0,E24-SUM(F11:J23),NA())</f>
        <v>#N/A</v>
      </c>
      <c r="K24" s="9" t="e">
        <f>IF(SUM(K11:K23)&gt;0,E24-SUM(F11:K23),NA())</f>
        <v>#N/A</v>
      </c>
      <c r="L24" s="9" t="e">
        <f>IF(SUM(L11:L23)&gt;0,E24-SUM(F11:L23),NA())</f>
        <v>#N/A</v>
      </c>
      <c r="M24" s="9" t="e">
        <f>IF(SUM(M11:M23)&gt;0,E24-SUM(F11:M23),NA())</f>
        <v>#N/A</v>
      </c>
      <c r="N24" s="9" t="e">
        <f>IF(SUM(N11:N23)&gt;0,E24-SUM(F11:N23),NA())</f>
        <v>#N/A</v>
      </c>
      <c r="O24" s="9" t="e">
        <f>IF(SUM(O11:O23)&gt;0,E24-SUM(F11:O23),NA())</f>
        <v>#N/A</v>
      </c>
      <c r="P24" s="9" t="e">
        <f>IF(SUM(P11:P23)&gt;0,E24-SUM(F11:P23),NA())</f>
        <v>#N/A</v>
      </c>
      <c r="Q24" s="9" t="e">
        <f>IF(SUM(Q11:Q23)&gt;0,E24-SUM(F11:Q23),NA())</f>
        <v>#N/A</v>
      </c>
      <c r="R24" s="9" t="e">
        <f>IF(SUM(R11:R23)&gt;0,E24-SUM(F11:R23),NA())</f>
        <v>#N/A</v>
      </c>
      <c r="S24" s="9" t="e">
        <f>IF(SUM(S11:S23)&gt;0,E24-SUM(F11:S23),NA())</f>
        <v>#N/A</v>
      </c>
    </row>
    <row r="25" spans="1:19">
      <c r="A25" s="78"/>
      <c r="B25" s="78"/>
      <c r="C25" s="12" t="s">
        <v>99</v>
      </c>
      <c r="D25" s="53"/>
      <c r="E25" s="93"/>
      <c r="F25" s="10" t="e">
        <f>E24-(E24/14)</f>
        <v>#VALUE!</v>
      </c>
      <c r="G25" s="10" t="e">
        <f>F25-(E24/14)</f>
        <v>#VALUE!</v>
      </c>
      <c r="H25" s="10" t="e">
        <f>G25-(E24/14)</f>
        <v>#VALUE!</v>
      </c>
      <c r="I25" s="10" t="e">
        <f>H25-(E24/14)</f>
        <v>#VALUE!</v>
      </c>
      <c r="J25" s="10" t="e">
        <f>I25-(E24/14)</f>
        <v>#VALUE!</v>
      </c>
      <c r="K25" s="10" t="e">
        <f>J25-(E24/14)</f>
        <v>#VALUE!</v>
      </c>
      <c r="L25" s="10" t="e">
        <f>K25-(E24/14)</f>
        <v>#VALUE!</v>
      </c>
      <c r="M25" s="10" t="e">
        <f>L25-(E24/14)</f>
        <v>#VALUE!</v>
      </c>
      <c r="N25" s="10" t="e">
        <f>M25-(E24/14)</f>
        <v>#VALUE!</v>
      </c>
      <c r="O25" s="10" t="e">
        <f>N25-(E24/14)</f>
        <v>#VALUE!</v>
      </c>
      <c r="P25" s="10" t="e">
        <f>O25-(E24/14)</f>
        <v>#VALUE!</v>
      </c>
      <c r="Q25" s="10" t="e">
        <f>P25-(E24/14)</f>
        <v>#VALUE!</v>
      </c>
      <c r="R25" s="10" t="e">
        <f>Q25-(E24/14)</f>
        <v>#VALUE!</v>
      </c>
      <c r="S25" s="10" t="e">
        <f>R25-(E24/14)</f>
        <v>#VALUE!</v>
      </c>
    </row>
    <row r="26" spans="1:19">
      <c r="A26" s="78"/>
      <c r="B26" s="78"/>
      <c r="C26" s="79"/>
      <c r="D26" s="79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</row>
    <row r="27" spans="1:19">
      <c r="A27" s="78"/>
      <c r="B27" s="78"/>
      <c r="C27" s="79"/>
      <c r="D27" s="79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</row>
    <row r="28" spans="1:19">
      <c r="A28" s="78"/>
      <c r="B28" s="78"/>
      <c r="C28" s="79"/>
      <c r="D28" s="79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</row>
    <row r="29" spans="1:19">
      <c r="A29" s="78"/>
      <c r="B29" s="78"/>
      <c r="C29" s="79"/>
      <c r="D29" s="79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</row>
    <row r="30" spans="1:19">
      <c r="A30" s="78"/>
      <c r="B30" s="78"/>
      <c r="C30" s="79"/>
      <c r="D30" s="79"/>
      <c r="E30" s="80"/>
      <c r="F30" s="80"/>
      <c r="G30" s="80"/>
      <c r="H30" s="80"/>
      <c r="I30" s="80"/>
      <c r="J30" s="80"/>
      <c r="K30" s="7">
        <v>0</v>
      </c>
      <c r="L30" s="80">
        <f>SUM(E11:E19)</f>
        <v>0</v>
      </c>
      <c r="M30" s="80"/>
      <c r="N30" s="80"/>
      <c r="O30" s="80"/>
      <c r="P30" s="80"/>
      <c r="Q30" s="80"/>
      <c r="R30" s="7">
        <v>0</v>
      </c>
      <c r="S30" s="80">
        <f>SUM(L11:L19)</f>
        <v>0</v>
      </c>
    </row>
    <row r="31" spans="1:19">
      <c r="A31" s="78"/>
      <c r="B31" s="78"/>
      <c r="C31" s="79"/>
      <c r="D31" s="79"/>
      <c r="E31" s="80"/>
      <c r="F31" s="80"/>
      <c r="G31" s="80"/>
      <c r="H31" s="80"/>
      <c r="I31" s="80"/>
      <c r="J31" s="80"/>
      <c r="K31" s="7">
        <v>10</v>
      </c>
      <c r="L31" s="7">
        <v>0</v>
      </c>
      <c r="M31" s="80"/>
      <c r="N31" s="80"/>
      <c r="O31" s="80"/>
      <c r="P31" s="80"/>
      <c r="Q31" s="80"/>
      <c r="R31" s="7">
        <v>10</v>
      </c>
      <c r="S31" s="7">
        <v>0</v>
      </c>
    </row>
    <row r="32" spans="1:19">
      <c r="A32" s="78"/>
      <c r="B32" s="78"/>
      <c r="C32" s="79"/>
      <c r="D32" s="79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</row>
    <row r="33" spans="13:19">
      <c r="M33" s="80"/>
      <c r="N33" s="80"/>
      <c r="O33" s="80"/>
      <c r="P33" s="80"/>
      <c r="Q33" s="80"/>
      <c r="R33" s="80"/>
      <c r="S33" s="80"/>
    </row>
    <row r="34" spans="13:19">
      <c r="M34" s="80"/>
      <c r="N34" s="80"/>
      <c r="O34" s="80"/>
      <c r="P34" s="80"/>
      <c r="Q34" s="80"/>
      <c r="R34" s="80"/>
      <c r="S34" s="80"/>
    </row>
    <row r="35" spans="13:19">
      <c r="M35" s="80"/>
      <c r="N35" s="80"/>
      <c r="O35" s="80"/>
      <c r="P35" s="80"/>
      <c r="Q35" s="80"/>
      <c r="R35" s="80"/>
      <c r="S35" s="80"/>
    </row>
    <row r="36" spans="13:19">
      <c r="M36" s="80"/>
      <c r="N36" s="80"/>
      <c r="O36" s="80"/>
      <c r="P36" s="80"/>
      <c r="Q36" s="80"/>
      <c r="R36" s="80"/>
      <c r="S36" s="80"/>
    </row>
    <row r="37" spans="13:19">
      <c r="M37" s="80"/>
      <c r="N37" s="80"/>
      <c r="O37" s="80"/>
      <c r="P37" s="80"/>
      <c r="Q37" s="80"/>
      <c r="R37" s="80"/>
      <c r="S37" s="80"/>
    </row>
    <row r="38" spans="13:19">
      <c r="M38" s="80"/>
      <c r="N38" s="80"/>
      <c r="O38" s="80"/>
      <c r="P38" s="80"/>
      <c r="Q38" s="80"/>
      <c r="R38" s="80"/>
      <c r="S38" s="80"/>
    </row>
    <row r="39" spans="13:19">
      <c r="M39" s="80"/>
      <c r="N39" s="80"/>
      <c r="O39" s="80"/>
      <c r="P39" s="80"/>
      <c r="Q39" s="80"/>
      <c r="R39" s="80"/>
      <c r="S39" s="80"/>
    </row>
    <row r="40" spans="13:19">
      <c r="M40" s="80"/>
      <c r="N40" s="80"/>
      <c r="O40" s="80"/>
      <c r="P40" s="80"/>
      <c r="Q40" s="80"/>
      <c r="R40" s="80"/>
      <c r="S40" s="80"/>
    </row>
    <row r="41" spans="13:19">
      <c r="M41" s="80"/>
      <c r="N41" s="80"/>
      <c r="O41" s="80"/>
      <c r="P41" s="80"/>
      <c r="Q41" s="80"/>
      <c r="R41" s="80"/>
      <c r="S41" s="80"/>
    </row>
    <row r="42" spans="13:19">
      <c r="M42" s="80"/>
      <c r="N42" s="80"/>
      <c r="O42" s="80"/>
      <c r="P42" s="80"/>
      <c r="Q42" s="80"/>
      <c r="R42" s="80"/>
      <c r="S42" s="80"/>
    </row>
    <row r="43" spans="13:19">
      <c r="M43" s="80"/>
      <c r="N43" s="80"/>
      <c r="O43" s="80"/>
      <c r="P43" s="80"/>
      <c r="Q43" s="80"/>
      <c r="R43" s="80"/>
      <c r="S43" s="80"/>
    </row>
    <row r="44" spans="13:19">
      <c r="M44" s="80"/>
      <c r="N44" s="80"/>
      <c r="O44" s="80"/>
      <c r="P44" s="80"/>
      <c r="Q44" s="80"/>
      <c r="R44" s="80"/>
      <c r="S44" s="80"/>
    </row>
    <row r="45" spans="13:19">
      <c r="M45" s="80"/>
      <c r="N45" s="80"/>
      <c r="O45" s="80"/>
      <c r="P45" s="80"/>
      <c r="Q45" s="80"/>
      <c r="R45" s="80"/>
      <c r="S45" s="80"/>
    </row>
    <row r="46" spans="13:19">
      <c r="M46" s="80"/>
      <c r="N46" s="80"/>
      <c r="O46" s="80"/>
      <c r="P46" s="80"/>
      <c r="Q46" s="80"/>
      <c r="R46" s="80"/>
      <c r="S46" s="80"/>
    </row>
    <row r="47" spans="13:19">
      <c r="M47" s="80"/>
      <c r="N47" s="80"/>
      <c r="O47" s="80"/>
      <c r="P47" s="80"/>
      <c r="Q47" s="80"/>
      <c r="R47" s="80"/>
      <c r="S47" s="80"/>
    </row>
    <row r="48" spans="13:19">
      <c r="M48" s="80"/>
      <c r="N48" s="80"/>
      <c r="O48" s="80"/>
      <c r="P48" s="80"/>
      <c r="Q48" s="80"/>
      <c r="R48" s="80"/>
      <c r="S48" s="80"/>
    </row>
  </sheetData>
  <autoFilter ref="A10:E10" xr:uid="{00000000-0009-0000-0000-000003000000}"/>
  <mergeCells count="5">
    <mergeCell ref="A2:L2"/>
    <mergeCell ref="F8:L8"/>
    <mergeCell ref="M8:S8"/>
    <mergeCell ref="E4:J4"/>
    <mergeCell ref="E24:E25"/>
  </mergeCells>
  <conditionalFormatting sqref="F20:S20">
    <cfRule type="cellIs" dxfId="1" priority="1" stopIfTrue="1" operator="lessThan">
      <formula>F21</formula>
    </cfRule>
    <cfRule type="cellIs" dxfId="0" priority="2" stopIfTrue="1" operator="greaterThan">
      <formula>F21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Gérardin</dc:creator>
  <cp:keywords/>
  <dc:description/>
  <cp:lastModifiedBy/>
  <cp:revision/>
  <dcterms:created xsi:type="dcterms:W3CDTF">2009-04-30T08:53:36Z</dcterms:created>
  <dcterms:modified xsi:type="dcterms:W3CDTF">2026-05-20T02:16:29Z</dcterms:modified>
  <cp:category/>
  <cp:contentStatus/>
</cp:coreProperties>
</file>