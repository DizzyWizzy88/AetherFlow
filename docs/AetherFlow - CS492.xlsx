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ha\Documents\Downloads\"/>
    </mc:Choice>
  </mc:AlternateContent>
  <xr:revisionPtr revIDLastSave="0" documentId="8_{3DF42787-B4F0-4D8F-BCD9-00584E5909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roduction" sheetId="1" r:id="rId1"/>
    <sheet name="Product backlog" sheetId="2" r:id="rId2"/>
    <sheet name="Sprint 1" sheetId="3" r:id="rId3"/>
    <sheet name="Sprint 2" sheetId="4" r:id="rId4"/>
  </sheets>
  <definedNames>
    <definedName name="_xlnm._FilterDatabase" localSheetId="1" hidden="1">'Product backlog'!$B$1:$F$1</definedName>
    <definedName name="_xlnm._FilterDatabase" localSheetId="2" hidden="1">'Sprint 1'!$A$10:$E$10</definedName>
    <definedName name="_xlnm._FilterDatabase" localSheetId="3" hidden="1">'Sprint 2'!$A$10:$E$10</definedName>
    <definedName name="Z_988818D5_2AEF_4A9A_A55E_18240173EC63_.wvu.FilterData" localSheetId="1" hidden="1">'Product backlog'!$A$10:$F$10</definedName>
    <definedName name="Z_988818D5_2AEF_4A9A_A55E_18240173EC63_.wvu.FilterData" localSheetId="2" hidden="1">'Sprint 1'!$A$10:$E$10</definedName>
    <definedName name="Z_988818D5_2AEF_4A9A_A55E_18240173EC63_.wvu.FilterData" localSheetId="3" hidden="1">'Sprint 2'!$A$10:$E$10</definedName>
    <definedName name="Z_AF9CDD9E_3CB3_EE48_8887_F1090B6AE042_.wvu.FilterData" localSheetId="1" hidden="1">'Product backlog'!$A$10:$F$10</definedName>
    <definedName name="Z_AF9CDD9E_3CB3_EE48_8887_F1090B6AE042_.wvu.FilterData" localSheetId="2" hidden="1">'Sprint 1'!$A$10:$E$10</definedName>
    <definedName name="Z_AF9CDD9E_3CB3_EE48_8887_F1090B6AE042_.wvu.FilterData" localSheetId="3" hidden="1">'Sprint 2'!$A$10:$E$10</definedName>
    <definedName name="Z_F117AA09_D9DE_4D2E_A2DF_77AB3D7617C3_.wvu.FilterData" localSheetId="1" hidden="1">'Product backlog'!$A$10:$F$10</definedName>
    <definedName name="Z_F117AA09_D9DE_4D2E_A2DF_77AB3D7617C3_.wvu.FilterData" localSheetId="2" hidden="1">'Sprint 1'!$A$10:$E$10</definedName>
    <definedName name="Z_F117AA09_D9DE_4D2E_A2DF_77AB3D7617C3_.wvu.FilterData" localSheetId="3" hidden="1">'Sprint 2'!$A$10:$E$10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L30" i="3"/>
  <c r="S24" i="3"/>
  <c r="R24" i="3"/>
  <c r="Q24" i="3"/>
  <c r="P24" i="3"/>
  <c r="O24" i="3"/>
  <c r="N24" i="3"/>
  <c r="M24" i="3"/>
  <c r="L24" i="3"/>
  <c r="K24" i="3"/>
  <c r="J24" i="3"/>
  <c r="I24" i="3"/>
  <c r="G24" i="3"/>
  <c r="F24" i="3"/>
  <c r="H24" i="3" s="1"/>
  <c r="F25" i="3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F10" i="3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A2" i="3"/>
  <c r="S30" i="4"/>
  <c r="L30" i="4"/>
  <c r="F25" i="4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F10" i="4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A2" i="4"/>
</calcChain>
</file>

<file path=xl/sharedStrings.xml><?xml version="1.0" encoding="utf-8"?>
<sst xmlns="http://schemas.openxmlformats.org/spreadsheetml/2006/main" count="143" uniqueCount="100">
  <si>
    <t>Project</t>
  </si>
  <si>
    <t>Airline Reservation System</t>
  </si>
  <si>
    <t>Sprint #</t>
  </si>
  <si>
    <t>Start date</t>
  </si>
  <si>
    <t>Total Team Members</t>
  </si>
  <si>
    <t>TBD</t>
  </si>
  <si>
    <t>week 1</t>
  </si>
  <si>
    <t>week 2</t>
  </si>
  <si>
    <t>Task ID</t>
  </si>
  <si>
    <t>Story ID</t>
  </si>
  <si>
    <t>Description</t>
  </si>
  <si>
    <t>Responsibility</t>
  </si>
  <si>
    <t>Initial estimate</t>
  </si>
  <si>
    <t>Remaining units (actual)</t>
  </si>
  <si>
    <t>Remaining units (ideal)</t>
  </si>
  <si>
    <t>What is this?</t>
  </si>
  <si>
    <t>This workbook is meant to help manage and piroritize the user stories and features using scrum.</t>
  </si>
  <si>
    <t>How to use and read this document?</t>
  </si>
  <si>
    <t xml:space="preserve">Before project start: The product owner is responsible for managing and maintaining the product backlog of user stories. </t>
  </si>
  <si>
    <t>Before each sprint: The vendor will break down the user stories into tasks.</t>
  </si>
  <si>
    <t>Notes</t>
  </si>
  <si>
    <t>Cells that you can edit have a blue background.</t>
  </si>
  <si>
    <t>Licence</t>
  </si>
  <si>
    <t>This work is licensed under a Creative Commons Attribution-Share Alike 3.0 Unported License.</t>
  </si>
  <si>
    <t>Origins</t>
  </si>
  <si>
    <t>This work is inspired by the Scrum Template published by Nicolas Martignole on his "Touilleur Express" blog. Adapted by Olivier Gérardin.</t>
  </si>
  <si>
    <t>Organizations</t>
  </si>
  <si>
    <t xml:space="preserve"> Story ID</t>
  </si>
  <si>
    <t>Title</t>
  </si>
  <si>
    <t>Acceptance Criteria</t>
  </si>
  <si>
    <t>Priority #</t>
  </si>
  <si>
    <t>Sprints are assumed to be 2 weeks long (10 working days)</t>
  </si>
  <si>
    <t>CS492 Team Project</t>
  </si>
  <si>
    <t>AetherFlow</t>
  </si>
  <si>
    <t>Alex Johnston</t>
  </si>
  <si>
    <t>Nathan Nied</t>
  </si>
  <si>
    <t>UI/UX Specialist &amp; Lead</t>
  </si>
  <si>
    <t>Daniel Rhoades</t>
  </si>
  <si>
    <t>Logic Architect (Backend)</t>
  </si>
  <si>
    <t>Scrum Master (Project Coordinator)</t>
  </si>
  <si>
    <t>Detail-Oriented Tester (QA)</t>
  </si>
  <si>
    <t>Garrett Lassalle</t>
  </si>
  <si>
    <t>AF-101</t>
  </si>
  <si>
    <t>Secure User Login</t>
  </si>
  <si>
    <t>As a Warehouse Manager, I want to login with encrypted credentials so that only authorized personnel can access the inventory.</t>
  </si>
  <si>
    <t xml:space="preserve">Password hashing implemented; HTTPS encryption active; System blocks unauthorized login attempts. </t>
  </si>
  <si>
    <t>AF-102</t>
  </si>
  <si>
    <t>Cloud Repository &amp; Version Control</t>
  </si>
  <si>
    <t>As a Developer, I want a centralized cloud repository so that the team can collaborate concurrently and maintain version control.</t>
  </si>
  <si>
    <t>GitHub repo initialized; Standard folder structure; Vercel/Hosting connected for deployment.</t>
  </si>
  <si>
    <t>AF-103</t>
  </si>
  <si>
    <t>As a Staff Member, I want to search items by SKU or Name so I can verify stock levels in real-time.</t>
  </si>
  <si>
    <t>Results return in &lt; 2 seconds; Search supports partial SKU matching; Filters by category.</t>
  </si>
  <si>
    <t>AF-104</t>
  </si>
  <si>
    <t>As an Administrator, I want to see a log of all stock adjustments so that we have an operational record of changes.</t>
  </si>
  <si>
    <t>Real-Time Inventory Search by SKU/Name</t>
  </si>
  <si>
    <t>Stock Adjustment Audit Log</t>
  </si>
  <si>
    <t>Log entries include User ID and Timestamp; Data is stored in a read-only format for non-admins.</t>
  </si>
  <si>
    <t>AF-105</t>
  </si>
  <si>
    <t>As a Manager, I want a visual warning when stock is below 10 units so I know when to reorder goods.</t>
  </si>
  <si>
    <t>Low-Stock Visual Alert</t>
  </si>
  <si>
    <t>UI turns Alert Crimson (#D50000) for low stock; Alert triggers automatically upon quantity change.</t>
  </si>
  <si>
    <t>AF-106</t>
  </si>
  <si>
    <t xml:space="preserve"> Add New Item to Inventory Catalog</t>
  </si>
  <si>
    <t>New SKUs saved to SQL database; Data validation ensures ISBN/SKU format is correct.</t>
  </si>
  <si>
    <t>As a Staff Member, I want to add new items to the catalog so the inventory reflects current warehouse holdings.</t>
  </si>
  <si>
    <t xml:space="preserve">Nathan Nied </t>
  </si>
  <si>
    <t>Nathan Nied &amp; Garrett Lassalle</t>
  </si>
  <si>
    <t>T101</t>
  </si>
  <si>
    <t>Create GitHub Repo &amp; Invite Team</t>
  </si>
  <si>
    <t>Design Encrypted SQL User Tables</t>
  </si>
  <si>
    <t>T102</t>
  </si>
  <si>
    <t>T103</t>
  </si>
  <si>
    <t>Code Login Screen UI (Aether Blue)</t>
  </si>
  <si>
    <t>T104</t>
  </si>
  <si>
    <t>Implement JWT/Password Hashing</t>
  </si>
  <si>
    <t>T105</t>
  </si>
  <si>
    <t>Map User Stories to Personas</t>
  </si>
  <si>
    <t xml:space="preserve">Jesus </t>
  </si>
  <si>
    <t>Draft Security Test Plan for login system</t>
  </si>
  <si>
    <t>T106</t>
  </si>
  <si>
    <t>Garrett</t>
  </si>
  <si>
    <t>Nathan</t>
  </si>
  <si>
    <t xml:space="preserve">Daniel </t>
  </si>
  <si>
    <t xml:space="preserve">Nathan </t>
  </si>
  <si>
    <t>Daniel</t>
  </si>
  <si>
    <t>T107</t>
  </si>
  <si>
    <t>Initialize Kanban/Sprint Board</t>
  </si>
  <si>
    <t>Test invalid login handeling</t>
  </si>
  <si>
    <t>T108</t>
  </si>
  <si>
    <t>T109</t>
  </si>
  <si>
    <t>Verify password validation requirements</t>
  </si>
  <si>
    <t>T110</t>
  </si>
  <si>
    <t>Review ISBN/SKU validation requiremnts</t>
  </si>
  <si>
    <t>T111</t>
  </si>
  <si>
    <t>Test duplicate SKU rejection handeling</t>
  </si>
  <si>
    <t>T112</t>
  </si>
  <si>
    <t xml:space="preserve"> Verify role-based access permissions</t>
  </si>
  <si>
    <t>T113</t>
  </si>
  <si>
    <t>Document bugs and validation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</si>
</sst>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d\ dd/mm"/>
  </numFmts>
  <fonts count="20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4"/>
      <color indexed="9"/>
      <name val="Calibri"/>
      <family val="2"/>
      <scheme val="minor"/>
    </font>
    <font>
      <b/>
      <i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9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5" fontId="1" fillId="2" borderId="3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horizontal="center" vertical="top"/>
      <protection locked="0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0" fillId="3" borderId="6" xfId="0" applyFill="1" applyBorder="1" applyAlignment="1" applyProtection="1">
      <alignment horizontal="center" vertical="top"/>
      <protection locked="0"/>
    </xf>
    <xf numFmtId="165" fontId="1" fillId="2" borderId="7" xfId="0" applyNumberFormat="1" applyFont="1" applyFill="1" applyBorder="1" applyAlignment="1">
      <alignment horizontal="center" vertical="top" wrapText="1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4" fillId="3" borderId="1" xfId="0" applyFont="1" applyFill="1" applyBorder="1" applyAlignment="1" applyProtection="1">
      <alignment horizontal="center" vertical="top"/>
      <protection locked="0"/>
    </xf>
    <xf numFmtId="0" fontId="4" fillId="3" borderId="1" xfId="0" applyFont="1" applyFill="1" applyBorder="1" applyAlignment="1" applyProtection="1">
      <alignment vertical="top" wrapText="1"/>
      <protection locked="0"/>
    </xf>
    <xf numFmtId="0" fontId="4" fillId="3" borderId="10" xfId="0" applyFont="1" applyFill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1" fillId="2" borderId="1" xfId="0" applyFont="1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1" applyFont="1" applyAlignment="1" applyProtection="1">
      <alignment wrapText="1"/>
    </xf>
    <xf numFmtId="0" fontId="13" fillId="0" borderId="0" xfId="0" applyFont="1" applyAlignment="1">
      <alignment horizontal="center" vertical="top" wrapText="1"/>
    </xf>
    <xf numFmtId="0" fontId="16" fillId="0" borderId="0" xfId="0" applyFont="1" applyAlignment="1">
      <alignment wrapText="1"/>
    </xf>
    <xf numFmtId="0" fontId="13" fillId="3" borderId="0" xfId="0" applyFont="1" applyFill="1" applyAlignment="1">
      <alignment wrapText="1"/>
    </xf>
    <xf numFmtId="0" fontId="1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7" fillId="3" borderId="1" xfId="0" applyFont="1" applyFill="1" applyBorder="1" applyAlignment="1" applyProtection="1">
      <alignment horizontal="center" vertical="top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6" xfId="0" applyFont="1" applyFill="1" applyBorder="1" applyAlignment="1">
      <alignment vertical="top" wrapText="1"/>
    </xf>
    <xf numFmtId="0" fontId="4" fillId="3" borderId="11" xfId="0" applyFont="1" applyFill="1" applyBorder="1" applyAlignment="1" applyProtection="1">
      <alignment vertical="top" wrapText="1"/>
      <protection locked="0"/>
    </xf>
    <xf numFmtId="0" fontId="1" fillId="2" borderId="5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7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/>
    </xf>
    <xf numFmtId="0" fontId="4" fillId="3" borderId="21" xfId="0" applyFont="1" applyFill="1" applyBorder="1" applyAlignment="1" applyProtection="1">
      <alignment horizontal="center" vertical="top"/>
      <protection locked="0"/>
    </xf>
    <xf numFmtId="0" fontId="7" fillId="3" borderId="6" xfId="0" applyFont="1" applyFill="1" applyBorder="1" applyAlignment="1" applyProtection="1">
      <alignment horizontal="center" vertical="top"/>
      <protection locked="0"/>
    </xf>
    <xf numFmtId="0" fontId="11" fillId="0" borderId="1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3" borderId="5" xfId="0" applyFont="1" applyFill="1" applyBorder="1" applyAlignment="1" applyProtection="1">
      <alignment vertical="top" wrapText="1"/>
      <protection locked="0"/>
    </xf>
    <xf numFmtId="0" fontId="4" fillId="3" borderId="6" xfId="0" applyFont="1" applyFill="1" applyBorder="1" applyAlignment="1" applyProtection="1">
      <alignment vertical="top" wrapText="1"/>
      <protection locked="0"/>
    </xf>
    <xf numFmtId="0" fontId="4" fillId="3" borderId="15" xfId="0" applyFont="1" applyFill="1" applyBorder="1" applyAlignment="1" applyProtection="1">
      <alignment vertical="top" wrapText="1"/>
      <protection locked="0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4" fillId="3" borderId="22" xfId="0" applyFont="1" applyFill="1" applyBorder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11" fillId="3" borderId="15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8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0" fillId="0" borderId="19" xfId="0" applyBorder="1"/>
    <xf numFmtId="0" fontId="0" fillId="0" borderId="20" xfId="0" applyBorder="1"/>
    <xf numFmtId="0" fontId="5" fillId="3" borderId="1" xfId="0" applyFont="1" applyFill="1" applyBorder="1" applyAlignment="1">
      <alignment horizontal="center"/>
    </xf>
    <xf numFmtId="0" fontId="0" fillId="0" borderId="12" xfId="0" applyBorder="1"/>
    <xf numFmtId="0" fontId="0" fillId="0" borderId="10" xfId="0" applyBorder="1"/>
    <xf numFmtId="0" fontId="1" fillId="0" borderId="1" xfId="0" applyFont="1" applyBorder="1" applyAlignment="1">
      <alignment horizontal="center" vertical="center"/>
    </xf>
    <xf numFmtId="0" fontId="0" fillId="0" borderId="13" xfId="0" applyBorder="1"/>
    <xf numFmtId="0" fontId="4" fillId="3" borderId="6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15"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i/>
        <sz val="12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theme="1" tint="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41"/>
          <c:y val="4.2895471399408407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375104659638955"/>
          <c:y val="0.18633084545213607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1'!$F$20:$S$20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6D-4C78-BFBF-E565E91E2531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val>
            <c:numRef>
              <c:f>'Sprint 1'!$F$21:$S$21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6D-4C78-BFBF-E565E91E2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78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41"/>
          <c:y val="4.2895471399408407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1"/>
          <c:y val="0.168958412284026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2'!$F$20:$S$20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38-4E58-BFE0-AD03ED8DD1C1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val>
            <c:numRef>
              <c:f>'Sprint 2'!$F$21:$S$21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38-4E58-BFE0-AD03ED8DD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78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18</xdr:row>
      <xdr:rowOff>95250</xdr:rowOff>
    </xdr:from>
    <xdr:to>
      <xdr:col>1</xdr:col>
      <xdr:colOff>895350</xdr:colOff>
      <xdr:row>20</xdr:row>
      <xdr:rowOff>66675</xdr:rowOff>
    </xdr:to>
    <xdr:pic>
      <xdr:nvPicPr>
        <xdr:cNvPr id="2126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14600" y="3514725"/>
          <a:ext cx="828675" cy="2952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26</xdr:row>
      <xdr:rowOff>28574</xdr:rowOff>
    </xdr:from>
    <xdr:to>
      <xdr:col>17</xdr:col>
      <xdr:colOff>685800</xdr:colOff>
      <xdr:row>44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904875</xdr:colOff>
      <xdr:row>25</xdr:row>
      <xdr:rowOff>133349</xdr:rowOff>
    </xdr:from>
    <xdr:to>
      <xdr:col>17</xdr:col>
      <xdr:colOff>504825</xdr:colOff>
      <xdr:row>44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G21" totalsRowShown="0" headerRowDxfId="14" dataDxfId="12" headerRowBorderDxfId="13" tableBorderDxfId="11">
  <autoFilter ref="A10:G21" xr:uid="{00000000-0009-0000-0100-000001000000}"/>
  <sortState xmlns:xlrd2="http://schemas.microsoft.com/office/spreadsheetml/2017/richdata2" ref="A11:F20">
    <sortCondition ref="F10:F20"/>
  </sortState>
  <tableColumns count="7">
    <tableColumn id="1" xr3:uid="{00000000-0010-0000-0000-000001000000}" name=" Story ID" dataDxfId="10"/>
    <tableColumn id="2" xr3:uid="{00000000-0010-0000-0000-000002000000}" name="Title" dataDxfId="9"/>
    <tableColumn id="3" xr3:uid="{00000000-0010-0000-0000-000003000000}" name="Description" dataDxfId="8"/>
    <tableColumn id="4" xr3:uid="{00000000-0010-0000-0000-000004000000}" name="Acceptance Criteria" dataDxfId="7"/>
    <tableColumn id="5" xr3:uid="{00000000-0010-0000-0000-000005000000}" name="Priority #" dataDxfId="6"/>
    <tableColumn id="6" xr3:uid="{00000000-0010-0000-0000-000006000000}" name="Sprint #" dataDxfId="5"/>
    <tableColumn id="7" xr3:uid="{00000000-0010-0000-0000-000007000000}" name="Responsibility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35"/>
  <sheetViews>
    <sheetView topLeftCell="A7" workbookViewId="0">
      <selection activeCell="B33" sqref="B33"/>
    </sheetView>
  </sheetViews>
  <sheetFormatPr defaultColWidth="11.42578125" defaultRowHeight="12.75" x14ac:dyDescent="0.2"/>
  <cols>
    <col min="1" max="1" width="36.7109375" style="16" customWidth="1"/>
    <col min="2" max="2" width="114.85546875" style="1" customWidth="1"/>
    <col min="3" max="5" width="11.42578125" style="1" customWidth="1"/>
    <col min="6" max="16384" width="11.42578125" style="1"/>
  </cols>
  <sheetData>
    <row r="2" spans="1:4" s="13" customFormat="1" ht="39.75" customHeight="1" x14ac:dyDescent="0.2">
      <c r="A2" s="75" t="s">
        <v>1</v>
      </c>
      <c r="B2" s="76"/>
      <c r="C2" s="33"/>
      <c r="D2" s="33"/>
    </row>
    <row r="3" spans="1:4" x14ac:dyDescent="0.2">
      <c r="A3" s="34"/>
      <c r="B3" s="33"/>
      <c r="C3" s="35"/>
      <c r="D3" s="35"/>
    </row>
    <row r="4" spans="1:4" s="15" customFormat="1" x14ac:dyDescent="0.2">
      <c r="A4" s="34"/>
      <c r="B4" s="36"/>
      <c r="C4" s="36"/>
      <c r="D4" s="36"/>
    </row>
    <row r="5" spans="1:4" s="15" customFormat="1" x14ac:dyDescent="0.2">
      <c r="A5" s="34"/>
      <c r="B5" s="36"/>
      <c r="C5" s="36"/>
      <c r="D5" s="36"/>
    </row>
    <row r="6" spans="1:4" s="14" customFormat="1" x14ac:dyDescent="0.2">
      <c r="A6" s="34" t="s">
        <v>15</v>
      </c>
      <c r="B6" s="35" t="s">
        <v>16</v>
      </c>
      <c r="C6" s="35"/>
      <c r="D6" s="35"/>
    </row>
    <row r="7" spans="1:4" s="15" customFormat="1" x14ac:dyDescent="0.2">
      <c r="A7" s="34"/>
      <c r="B7" s="36"/>
      <c r="C7" s="36"/>
      <c r="D7" s="36"/>
    </row>
    <row r="8" spans="1:4" s="15" customFormat="1" x14ac:dyDescent="0.2">
      <c r="A8" s="34"/>
      <c r="B8" s="37"/>
      <c r="C8" s="36"/>
      <c r="D8" s="36"/>
    </row>
    <row r="9" spans="1:4" s="14" customFormat="1" x14ac:dyDescent="0.2">
      <c r="A9" s="38"/>
      <c r="B9" s="37"/>
      <c r="C9" s="35"/>
      <c r="D9" s="35"/>
    </row>
    <row r="10" spans="1:4" s="15" customFormat="1" x14ac:dyDescent="0.2">
      <c r="A10" s="34"/>
      <c r="B10" s="36"/>
      <c r="C10" s="36"/>
      <c r="D10" s="36"/>
    </row>
    <row r="11" spans="1:4" s="14" customFormat="1" x14ac:dyDescent="0.2">
      <c r="A11" s="34" t="s">
        <v>17</v>
      </c>
      <c r="B11" s="39" t="s">
        <v>18</v>
      </c>
      <c r="C11" s="35"/>
      <c r="D11" s="35"/>
    </row>
    <row r="12" spans="1:4" x14ac:dyDescent="0.2">
      <c r="A12" s="34"/>
      <c r="B12" s="39" t="s">
        <v>19</v>
      </c>
      <c r="C12" s="35"/>
      <c r="D12" s="35"/>
    </row>
    <row r="13" spans="1:4" x14ac:dyDescent="0.2">
      <c r="A13" s="34"/>
      <c r="B13" s="39"/>
      <c r="C13" s="35"/>
      <c r="D13" s="35"/>
    </row>
    <row r="14" spans="1:4" x14ac:dyDescent="0.2">
      <c r="A14" s="34"/>
      <c r="B14" s="35"/>
      <c r="C14" s="35"/>
      <c r="D14" s="35"/>
    </row>
    <row r="15" spans="1:4" x14ac:dyDescent="0.2">
      <c r="A15" s="34" t="s">
        <v>20</v>
      </c>
      <c r="B15" s="40" t="s">
        <v>21</v>
      </c>
      <c r="C15" s="35"/>
      <c r="D15" s="35"/>
    </row>
    <row r="16" spans="1:4" x14ac:dyDescent="0.2">
      <c r="A16" s="34"/>
      <c r="B16" s="35" t="s">
        <v>31</v>
      </c>
      <c r="C16" s="35"/>
      <c r="D16" s="35"/>
    </row>
    <row r="17" spans="1:4" s="14" customFormat="1" x14ac:dyDescent="0.2">
      <c r="A17" s="34"/>
      <c r="B17" s="35"/>
      <c r="C17" s="35"/>
      <c r="D17" s="35"/>
    </row>
    <row r="18" spans="1:4" s="15" customFormat="1" x14ac:dyDescent="0.2">
      <c r="A18" s="34" t="s">
        <v>22</v>
      </c>
      <c r="B18" s="41" t="s">
        <v>23</v>
      </c>
      <c r="C18" s="36"/>
      <c r="D18" s="36"/>
    </row>
    <row r="19" spans="1:4" x14ac:dyDescent="0.2">
      <c r="A19" s="34"/>
      <c r="B19" s="35"/>
      <c r="C19" s="35"/>
      <c r="D19" s="35"/>
    </row>
    <row r="20" spans="1:4" x14ac:dyDescent="0.2">
      <c r="A20" s="34"/>
      <c r="B20" s="35"/>
      <c r="C20" s="35"/>
      <c r="D20" s="35"/>
    </row>
    <row r="21" spans="1:4" x14ac:dyDescent="0.2">
      <c r="A21" s="34"/>
      <c r="B21" s="35"/>
      <c r="C21" s="35"/>
      <c r="D21" s="35"/>
    </row>
    <row r="22" spans="1:4" x14ac:dyDescent="0.2">
      <c r="A22" s="34"/>
      <c r="B22" s="35"/>
      <c r="C22" s="35"/>
      <c r="D22" s="35"/>
    </row>
    <row r="23" spans="1:4" x14ac:dyDescent="0.2">
      <c r="A23" s="34" t="s">
        <v>24</v>
      </c>
      <c r="B23" s="35" t="s">
        <v>25</v>
      </c>
      <c r="C23" s="35"/>
      <c r="D23" s="35"/>
    </row>
    <row r="24" spans="1:4" x14ac:dyDescent="0.2">
      <c r="A24" s="34"/>
      <c r="B24" s="37"/>
      <c r="C24" s="35"/>
      <c r="D24" s="35"/>
    </row>
    <row r="31" spans="1:4" x14ac:dyDescent="0.2">
      <c r="A31" s="1"/>
    </row>
    <row r="32" spans="1:4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</sheetData>
  <mergeCells count="1">
    <mergeCell ref="A2:B2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C24"/>
  <sheetViews>
    <sheetView tabSelected="1" zoomScaleNormal="100" workbookViewId="0">
      <selection activeCell="C17" sqref="C17"/>
    </sheetView>
  </sheetViews>
  <sheetFormatPr defaultColWidth="11.42578125" defaultRowHeight="15.75" x14ac:dyDescent="0.25"/>
  <cols>
    <col min="1" max="1" width="36.85546875" style="43" customWidth="1"/>
    <col min="2" max="2" width="35.140625" style="42" customWidth="1"/>
    <col min="3" max="3" width="103.140625" style="42" bestFit="1" customWidth="1"/>
    <col min="4" max="4" width="74.85546875" style="42" bestFit="1" customWidth="1"/>
    <col min="5" max="5" width="15.5703125" style="43" bestFit="1" customWidth="1"/>
    <col min="6" max="6" width="11.85546875" style="42" bestFit="1" customWidth="1"/>
    <col min="7" max="7" width="20.5703125" style="42" customWidth="1"/>
    <col min="8" max="136" width="11.42578125" style="42" customWidth="1"/>
    <col min="137" max="16384" width="11.42578125" style="42"/>
  </cols>
  <sheetData>
    <row r="2" spans="1:133" x14ac:dyDescent="0.25">
      <c r="A2" s="72" t="s">
        <v>1</v>
      </c>
      <c r="B2" s="73"/>
      <c r="C2" s="73"/>
      <c r="D2" s="73"/>
      <c r="E2" s="74"/>
      <c r="F2" s="73"/>
    </row>
    <row r="3" spans="1:133" x14ac:dyDescent="0.25">
      <c r="D3" s="43"/>
    </row>
    <row r="4" spans="1:133" x14ac:dyDescent="0.25">
      <c r="B4" s="48" t="s">
        <v>26</v>
      </c>
      <c r="C4" s="61" t="s">
        <v>32</v>
      </c>
      <c r="D4" s="43"/>
    </row>
    <row r="5" spans="1:133" x14ac:dyDescent="0.25">
      <c r="B5" s="48" t="s">
        <v>0</v>
      </c>
      <c r="C5" s="61" t="s">
        <v>33</v>
      </c>
      <c r="D5" s="43"/>
    </row>
    <row r="6" spans="1:133" x14ac:dyDescent="0.25">
      <c r="B6" s="48" t="s">
        <v>36</v>
      </c>
      <c r="C6" s="61" t="s">
        <v>37</v>
      </c>
      <c r="D6" s="43"/>
    </row>
    <row r="7" spans="1:133" x14ac:dyDescent="0.25">
      <c r="B7" s="48" t="s">
        <v>39</v>
      </c>
      <c r="C7" s="61" t="s">
        <v>34</v>
      </c>
      <c r="D7" s="43"/>
    </row>
    <row r="8" spans="1:133" x14ac:dyDescent="0.25">
      <c r="B8" s="48" t="s">
        <v>38</v>
      </c>
      <c r="C8" s="61" t="s">
        <v>35</v>
      </c>
      <c r="D8" s="43"/>
    </row>
    <row r="9" spans="1:133" x14ac:dyDescent="0.25">
      <c r="B9" s="48" t="s">
        <v>40</v>
      </c>
      <c r="C9" s="61" t="s">
        <v>41</v>
      </c>
      <c r="D9" s="43"/>
    </row>
    <row r="10" spans="1:133" s="44" customFormat="1" x14ac:dyDescent="0.2">
      <c r="A10" s="46" t="s">
        <v>27</v>
      </c>
      <c r="B10" s="47" t="s">
        <v>28</v>
      </c>
      <c r="C10" s="47" t="s">
        <v>10</v>
      </c>
      <c r="D10" s="47" t="s">
        <v>29</v>
      </c>
      <c r="E10" s="47" t="s">
        <v>30</v>
      </c>
      <c r="F10" s="47" t="s">
        <v>2</v>
      </c>
      <c r="G10" s="50" t="s">
        <v>11</v>
      </c>
    </row>
    <row r="11" spans="1:133" s="49" customFormat="1" ht="54" customHeight="1" x14ac:dyDescent="0.2">
      <c r="A11" s="70" t="s">
        <v>42</v>
      </c>
      <c r="B11" s="63" t="s">
        <v>43</v>
      </c>
      <c r="C11" s="63" t="s">
        <v>44</v>
      </c>
      <c r="D11" s="63" t="s">
        <v>45</v>
      </c>
      <c r="E11" s="62">
        <v>1</v>
      </c>
      <c r="F11" s="62">
        <v>1</v>
      </c>
      <c r="G11" s="69" t="s">
        <v>35</v>
      </c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</row>
    <row r="12" spans="1:133" s="49" customFormat="1" ht="54" customHeight="1" x14ac:dyDescent="0.2">
      <c r="A12" s="62" t="s">
        <v>46</v>
      </c>
      <c r="B12" s="63" t="s">
        <v>47</v>
      </c>
      <c r="C12" s="63" t="s">
        <v>48</v>
      </c>
      <c r="D12" s="63" t="s">
        <v>49</v>
      </c>
      <c r="E12" s="62">
        <v>1</v>
      </c>
      <c r="F12" s="62">
        <v>1</v>
      </c>
      <c r="G12" s="69" t="s">
        <v>34</v>
      </c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</row>
    <row r="13" spans="1:133" s="49" customFormat="1" ht="54" customHeight="1" x14ac:dyDescent="0.2">
      <c r="A13" s="62" t="s">
        <v>50</v>
      </c>
      <c r="B13" s="63" t="s">
        <v>55</v>
      </c>
      <c r="C13" s="63" t="s">
        <v>51</v>
      </c>
      <c r="D13" s="63" t="s">
        <v>52</v>
      </c>
      <c r="E13" s="62">
        <v>2</v>
      </c>
      <c r="F13" s="62">
        <v>1</v>
      </c>
      <c r="G13" s="69" t="s">
        <v>35</v>
      </c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</row>
    <row r="14" spans="1:133" s="49" customFormat="1" ht="54" customHeight="1" x14ac:dyDescent="0.2">
      <c r="A14" s="62" t="s">
        <v>53</v>
      </c>
      <c r="B14" s="63" t="s">
        <v>56</v>
      </c>
      <c r="C14" s="63" t="s">
        <v>54</v>
      </c>
      <c r="D14" s="69" t="s">
        <v>57</v>
      </c>
      <c r="E14" s="62">
        <v>2</v>
      </c>
      <c r="F14" s="62">
        <v>1</v>
      </c>
      <c r="G14" s="69" t="s">
        <v>66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</row>
    <row r="15" spans="1:133" s="49" customFormat="1" ht="54" customHeight="1" x14ac:dyDescent="0.2">
      <c r="A15" s="70" t="s">
        <v>58</v>
      </c>
      <c r="B15" s="69" t="s">
        <v>60</v>
      </c>
      <c r="C15" s="69" t="s">
        <v>59</v>
      </c>
      <c r="D15" s="69" t="s">
        <v>61</v>
      </c>
      <c r="E15" s="62">
        <v>2</v>
      </c>
      <c r="F15" s="62">
        <v>2</v>
      </c>
      <c r="G15" s="69" t="s">
        <v>37</v>
      </c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</row>
    <row r="16" spans="1:133" s="49" customFormat="1" ht="54" customHeight="1" x14ac:dyDescent="0.2">
      <c r="A16" s="70" t="s">
        <v>62</v>
      </c>
      <c r="B16" s="69" t="s">
        <v>63</v>
      </c>
      <c r="C16" s="69" t="s">
        <v>65</v>
      </c>
      <c r="D16" s="69" t="s">
        <v>64</v>
      </c>
      <c r="E16" s="62">
        <v>3</v>
      </c>
      <c r="F16" s="62">
        <v>2</v>
      </c>
      <c r="G16" s="69" t="s">
        <v>67</v>
      </c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</row>
    <row r="17" spans="1:133" s="49" customFormat="1" ht="54" customHeight="1" x14ac:dyDescent="0.2">
      <c r="A17" s="62"/>
      <c r="B17" s="63"/>
      <c r="C17" s="63"/>
      <c r="D17" s="63"/>
      <c r="E17" s="62"/>
      <c r="F17" s="62"/>
      <c r="G17" s="63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</row>
    <row r="18" spans="1:133" s="49" customFormat="1" ht="54" customHeight="1" x14ac:dyDescent="0.2">
      <c r="A18" s="62"/>
      <c r="B18" s="63"/>
      <c r="C18" s="63"/>
      <c r="D18" s="63"/>
      <c r="E18" s="62"/>
      <c r="F18" s="62"/>
      <c r="G18" s="63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</row>
    <row r="19" spans="1:133" s="49" customFormat="1" ht="54" customHeight="1" x14ac:dyDescent="0.2">
      <c r="A19" s="62"/>
      <c r="B19" s="63"/>
      <c r="C19" s="63"/>
      <c r="D19" s="63"/>
      <c r="E19" s="62"/>
      <c r="F19" s="62"/>
      <c r="G19" s="63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</row>
    <row r="20" spans="1:133" s="49" customFormat="1" ht="54" customHeight="1" x14ac:dyDescent="0.2">
      <c r="A20" s="62"/>
      <c r="B20" s="63"/>
      <c r="C20" s="63"/>
      <c r="D20" s="63"/>
      <c r="E20" s="62"/>
      <c r="F20" s="62"/>
      <c r="G20" s="63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</row>
    <row r="21" spans="1:133" s="49" customFormat="1" x14ac:dyDescent="0.2">
      <c r="A21" s="71"/>
      <c r="B21" s="71"/>
      <c r="C21" s="71"/>
      <c r="D21" s="71"/>
      <c r="E21" s="71"/>
      <c r="F21" s="71"/>
      <c r="G21" s="71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</row>
    <row r="22" spans="1:133" x14ac:dyDescent="0.25">
      <c r="A22" s="42"/>
      <c r="E22" s="42"/>
    </row>
    <row r="23" spans="1:133" x14ac:dyDescent="0.25">
      <c r="A23" s="42"/>
      <c r="E23" s="42"/>
    </row>
    <row r="24" spans="1:133" x14ac:dyDescent="0.25">
      <c r="A24" s="42"/>
      <c r="E24" s="42"/>
    </row>
  </sheetData>
  <autoFilter ref="B1:F1" xr:uid="{00000000-0009-0000-0000-000001000000}"/>
  <mergeCells count="1">
    <mergeCell ref="A2:F2"/>
  </mergeCells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48"/>
  <sheetViews>
    <sheetView workbookViewId="0">
      <selection activeCell="I22" sqref="I22"/>
    </sheetView>
  </sheetViews>
  <sheetFormatPr defaultColWidth="11.42578125" defaultRowHeight="12.75" x14ac:dyDescent="0.2"/>
  <cols>
    <col min="1" max="1" width="6.85546875" style="5" customWidth="1"/>
    <col min="2" max="2" width="11.71093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5" width="11.42578125" style="5" customWidth="1"/>
    <col min="16" max="16384" width="11.42578125" style="5"/>
  </cols>
  <sheetData>
    <row r="2" spans="1:19" ht="43.5" customHeight="1" x14ac:dyDescent="0.2">
      <c r="A2" s="77" t="str">
        <f>CONCATENATE("Sprint #",E5, "Tracking Sheet")</f>
        <v>Sprint #1Tracking Sheet</v>
      </c>
      <c r="B2" s="78"/>
      <c r="C2" s="79"/>
      <c r="D2" s="79"/>
      <c r="E2" s="80"/>
      <c r="F2" s="80"/>
      <c r="G2" s="80"/>
      <c r="H2" s="80"/>
      <c r="I2" s="80"/>
      <c r="J2" s="80"/>
      <c r="K2" s="80"/>
      <c r="L2" s="80"/>
    </row>
    <row r="4" spans="1:19" x14ac:dyDescent="0.2">
      <c r="A4" s="2"/>
      <c r="C4" s="32" t="s">
        <v>0</v>
      </c>
      <c r="D4" s="51"/>
      <c r="E4" s="84" t="s">
        <v>33</v>
      </c>
      <c r="F4" s="85"/>
      <c r="G4" s="85"/>
      <c r="H4" s="85"/>
      <c r="I4" s="85"/>
      <c r="J4" s="86"/>
    </row>
    <row r="5" spans="1:19" x14ac:dyDescent="0.2">
      <c r="C5" s="11" t="s">
        <v>2</v>
      </c>
      <c r="D5" s="11"/>
      <c r="E5" s="22">
        <v>1</v>
      </c>
    </row>
    <row r="6" spans="1:19" x14ac:dyDescent="0.2">
      <c r="C6" s="11" t="s">
        <v>3</v>
      </c>
      <c r="D6" s="11"/>
      <c r="E6" s="23">
        <v>46147</v>
      </c>
    </row>
    <row r="7" spans="1:19" ht="13.5" customHeight="1" thickBot="1" x14ac:dyDescent="0.25">
      <c r="C7" s="3"/>
      <c r="D7" s="11" t="s">
        <v>4</v>
      </c>
      <c r="E7" s="22">
        <v>5</v>
      </c>
    </row>
    <row r="8" spans="1:19" ht="13.5" customHeight="1" thickBot="1" x14ac:dyDescent="0.25">
      <c r="F8" s="81" t="s">
        <v>6</v>
      </c>
      <c r="G8" s="82"/>
      <c r="H8" s="82"/>
      <c r="I8" s="82"/>
      <c r="J8" s="82"/>
      <c r="K8" s="82"/>
      <c r="L8" s="83"/>
      <c r="M8" s="81" t="s">
        <v>7</v>
      </c>
      <c r="N8" s="82"/>
      <c r="O8" s="82"/>
      <c r="P8" s="82"/>
      <c r="Q8" s="82"/>
      <c r="R8" s="82"/>
      <c r="S8" s="83"/>
    </row>
    <row r="9" spans="1:19" ht="12.75" customHeight="1" thickBot="1" x14ac:dyDescent="0.25">
      <c r="F9" s="56">
        <v>1</v>
      </c>
      <c r="G9" s="57">
        <v>2</v>
      </c>
      <c r="H9" s="56">
        <v>3</v>
      </c>
      <c r="I9" s="57">
        <v>4</v>
      </c>
      <c r="J9" s="56">
        <v>5</v>
      </c>
      <c r="K9" s="57">
        <v>6</v>
      </c>
      <c r="L9" s="56">
        <v>7</v>
      </c>
      <c r="M9" s="57">
        <v>8</v>
      </c>
      <c r="N9" s="56">
        <v>9</v>
      </c>
      <c r="O9" s="57">
        <v>10</v>
      </c>
      <c r="P9" s="56">
        <v>11</v>
      </c>
      <c r="Q9" s="57">
        <v>12</v>
      </c>
      <c r="R9" s="56">
        <v>13</v>
      </c>
      <c r="S9" s="57">
        <v>14</v>
      </c>
    </row>
    <row r="10" spans="1:19" s="3" customFormat="1" ht="27" customHeight="1" x14ac:dyDescent="0.2">
      <c r="A10" s="17" t="s">
        <v>8</v>
      </c>
      <c r="B10" s="19" t="s">
        <v>9</v>
      </c>
      <c r="C10" s="18" t="s">
        <v>10</v>
      </c>
      <c r="D10" s="52" t="s">
        <v>11</v>
      </c>
      <c r="E10" s="20" t="s">
        <v>12</v>
      </c>
      <c r="F10" s="26">
        <f>E6</f>
        <v>46147</v>
      </c>
      <c r="G10" s="21">
        <f>F10+1</f>
        <v>46148</v>
      </c>
      <c r="H10" s="21">
        <f t="shared" ref="H10:S10" si="0">G10+1</f>
        <v>46149</v>
      </c>
      <c r="I10" s="21">
        <f t="shared" si="0"/>
        <v>46150</v>
      </c>
      <c r="J10" s="21">
        <f t="shared" si="0"/>
        <v>46151</v>
      </c>
      <c r="K10" s="21">
        <f t="shared" si="0"/>
        <v>46152</v>
      </c>
      <c r="L10" s="21">
        <f t="shared" si="0"/>
        <v>46153</v>
      </c>
      <c r="M10" s="21">
        <f t="shared" si="0"/>
        <v>46154</v>
      </c>
      <c r="N10" s="21">
        <f t="shared" si="0"/>
        <v>46155</v>
      </c>
      <c r="O10" s="21">
        <f t="shared" si="0"/>
        <v>46156</v>
      </c>
      <c r="P10" s="21">
        <f t="shared" si="0"/>
        <v>46157</v>
      </c>
      <c r="Q10" s="21">
        <f t="shared" si="0"/>
        <v>46158</v>
      </c>
      <c r="R10" s="21">
        <f t="shared" si="0"/>
        <v>46159</v>
      </c>
      <c r="S10" s="21">
        <f t="shared" si="0"/>
        <v>46160</v>
      </c>
    </row>
    <row r="11" spans="1:19" s="31" customFormat="1" x14ac:dyDescent="0.2">
      <c r="A11" s="27" t="s">
        <v>68</v>
      </c>
      <c r="B11" s="28" t="s">
        <v>46</v>
      </c>
      <c r="C11" s="29" t="s">
        <v>69</v>
      </c>
      <c r="D11" s="53" t="s">
        <v>85</v>
      </c>
      <c r="E11" s="67">
        <v>2</v>
      </c>
      <c r="F11" s="30"/>
      <c r="G11" s="30"/>
      <c r="H11" s="30"/>
      <c r="I11" s="30"/>
      <c r="J11" s="28"/>
      <c r="K11" s="28"/>
      <c r="L11" s="28"/>
      <c r="M11" s="30"/>
      <c r="N11" s="30"/>
      <c r="O11" s="30"/>
      <c r="P11" s="30"/>
      <c r="Q11" s="28"/>
      <c r="R11" s="28"/>
      <c r="S11" s="28"/>
    </row>
    <row r="12" spans="1:19" s="31" customFormat="1" ht="25.5" customHeight="1" x14ac:dyDescent="0.2">
      <c r="A12" s="27" t="s">
        <v>71</v>
      </c>
      <c r="B12" s="28" t="s">
        <v>42</v>
      </c>
      <c r="C12" s="29" t="s">
        <v>70</v>
      </c>
      <c r="D12" s="53" t="s">
        <v>84</v>
      </c>
      <c r="E12" s="67">
        <v>6</v>
      </c>
      <c r="F12" s="30">
        <v>1</v>
      </c>
      <c r="G12" s="30">
        <v>2</v>
      </c>
      <c r="H12" s="30">
        <v>1</v>
      </c>
      <c r="I12" s="30">
        <v>1</v>
      </c>
      <c r="J12" s="28">
        <v>2</v>
      </c>
      <c r="K12" s="28">
        <v>1</v>
      </c>
      <c r="L12" s="28"/>
      <c r="M12" s="30"/>
      <c r="N12" s="30"/>
      <c r="O12" s="30"/>
      <c r="P12" s="30"/>
      <c r="Q12" s="28"/>
      <c r="R12" s="28"/>
      <c r="S12" s="28"/>
    </row>
    <row r="13" spans="1:19" s="31" customFormat="1" x14ac:dyDescent="0.2">
      <c r="A13" s="27" t="s">
        <v>72</v>
      </c>
      <c r="B13" s="28" t="s">
        <v>42</v>
      </c>
      <c r="C13" s="29" t="s">
        <v>73</v>
      </c>
      <c r="D13" s="53" t="s">
        <v>83</v>
      </c>
      <c r="E13" s="67">
        <v>5</v>
      </c>
      <c r="F13" s="30"/>
      <c r="G13" s="28"/>
      <c r="H13" s="28"/>
      <c r="I13" s="28"/>
      <c r="J13" s="28"/>
      <c r="K13" s="28"/>
      <c r="L13" s="28"/>
      <c r="M13" s="30"/>
      <c r="N13" s="28"/>
      <c r="O13" s="28"/>
      <c r="P13" s="28"/>
      <c r="Q13" s="28"/>
      <c r="R13" s="28"/>
      <c r="S13" s="28"/>
    </row>
    <row r="14" spans="1:19" s="31" customFormat="1" x14ac:dyDescent="0.2">
      <c r="A14" s="27" t="s">
        <v>74</v>
      </c>
      <c r="B14" s="28" t="s">
        <v>42</v>
      </c>
      <c r="C14" s="29" t="s">
        <v>75</v>
      </c>
      <c r="D14" s="53" t="s">
        <v>82</v>
      </c>
      <c r="E14" s="67">
        <v>5</v>
      </c>
      <c r="F14" s="30">
        <v>0</v>
      </c>
      <c r="G14" s="28">
        <v>1</v>
      </c>
      <c r="H14" s="28">
        <v>1</v>
      </c>
      <c r="I14" s="28">
        <v>2</v>
      </c>
      <c r="J14" s="28">
        <v>1</v>
      </c>
      <c r="K14" s="28">
        <v>1</v>
      </c>
      <c r="L14" s="28"/>
      <c r="M14" s="30"/>
      <c r="N14" s="28"/>
      <c r="O14" s="28"/>
      <c r="P14" s="28"/>
      <c r="Q14" s="28"/>
      <c r="R14" s="28"/>
      <c r="S14" s="28"/>
    </row>
    <row r="15" spans="1:19" s="31" customFormat="1" x14ac:dyDescent="0.2">
      <c r="A15" s="27" t="s">
        <v>76</v>
      </c>
      <c r="B15" s="28" t="s">
        <v>53</v>
      </c>
      <c r="C15" s="29" t="s">
        <v>77</v>
      </c>
      <c r="D15" s="53" t="s">
        <v>78</v>
      </c>
      <c r="E15" s="67">
        <v>4</v>
      </c>
      <c r="F15" s="30"/>
      <c r="G15" s="28"/>
      <c r="H15" s="28"/>
      <c r="I15" s="28"/>
      <c r="J15" s="28"/>
      <c r="K15" s="28"/>
      <c r="L15" s="28"/>
      <c r="M15" s="30"/>
      <c r="N15" s="28"/>
      <c r="O15" s="28"/>
      <c r="P15" s="28"/>
      <c r="Q15" s="28"/>
      <c r="R15" s="28"/>
      <c r="S15" s="28"/>
    </row>
    <row r="16" spans="1:19" s="31" customFormat="1" ht="25.5" x14ac:dyDescent="0.2">
      <c r="A16" s="27" t="s">
        <v>80</v>
      </c>
      <c r="B16" s="28" t="s">
        <v>62</v>
      </c>
      <c r="C16" s="29" t="s">
        <v>79</v>
      </c>
      <c r="D16" s="53" t="s">
        <v>81</v>
      </c>
      <c r="E16" s="67">
        <v>2</v>
      </c>
      <c r="F16" s="30"/>
      <c r="G16" s="28"/>
      <c r="H16" s="28"/>
      <c r="I16" s="28"/>
      <c r="J16" s="28"/>
      <c r="K16" s="28"/>
      <c r="L16" s="28"/>
      <c r="M16" s="30"/>
      <c r="N16" s="28"/>
      <c r="O16" s="28"/>
      <c r="P16" s="28"/>
      <c r="Q16" s="28"/>
      <c r="R16" s="28"/>
      <c r="S16" s="28"/>
    </row>
    <row r="17" spans="1:19" s="8" customFormat="1" x14ac:dyDescent="0.2">
      <c r="A17" s="27" t="s">
        <v>86</v>
      </c>
      <c r="B17" s="28" t="s">
        <v>42</v>
      </c>
      <c r="C17" s="64" t="s">
        <v>87</v>
      </c>
      <c r="D17" s="66" t="s">
        <v>82</v>
      </c>
      <c r="E17" s="67">
        <v>6</v>
      </c>
      <c r="F17" s="30">
        <v>1</v>
      </c>
      <c r="G17" s="24">
        <v>2</v>
      </c>
      <c r="H17" s="24">
        <v>2</v>
      </c>
      <c r="I17" s="24">
        <v>1</v>
      </c>
      <c r="J17" s="24">
        <v>1</v>
      </c>
      <c r="K17" s="24">
        <v>1</v>
      </c>
      <c r="L17" s="24"/>
      <c r="M17" s="30"/>
      <c r="N17" s="24"/>
      <c r="O17" s="24"/>
      <c r="P17" s="24"/>
      <c r="Q17" s="24"/>
      <c r="R17" s="24"/>
      <c r="S17" s="24"/>
    </row>
    <row r="18" spans="1:19" s="8" customFormat="1" ht="13.5" customHeight="1" thickBot="1" x14ac:dyDescent="0.25">
      <c r="A18" s="58" t="s">
        <v>89</v>
      </c>
      <c r="B18" s="89" t="s">
        <v>42</v>
      </c>
      <c r="C18" s="65" t="s">
        <v>88</v>
      </c>
      <c r="D18" s="65" t="s">
        <v>81</v>
      </c>
      <c r="E18" s="68">
        <v>2</v>
      </c>
      <c r="F18" s="58"/>
      <c r="G18" s="25"/>
      <c r="H18" s="25"/>
      <c r="I18" s="25"/>
      <c r="J18" s="25"/>
      <c r="K18" s="25"/>
      <c r="L18" s="25"/>
      <c r="M18" s="58"/>
      <c r="N18" s="25"/>
      <c r="O18" s="25"/>
      <c r="P18" s="25"/>
      <c r="Q18" s="25"/>
      <c r="R18" s="25"/>
      <c r="S18" s="25"/>
    </row>
    <row r="19" spans="1:19" ht="25.5" x14ac:dyDescent="0.2">
      <c r="A19" s="27" t="s">
        <v>90</v>
      </c>
      <c r="B19" s="28" t="s">
        <v>42</v>
      </c>
      <c r="C19" s="64" t="s">
        <v>91</v>
      </c>
      <c r="D19" s="66" t="s">
        <v>81</v>
      </c>
      <c r="E19" s="67">
        <v>2</v>
      </c>
      <c r="F19" s="30"/>
      <c r="G19" s="24"/>
      <c r="H19" s="24"/>
      <c r="I19" s="24"/>
      <c r="J19" s="24"/>
      <c r="K19" s="24"/>
      <c r="L19" s="24"/>
      <c r="M19" s="30"/>
      <c r="N19" s="24"/>
      <c r="O19" s="24"/>
      <c r="P19" s="24"/>
      <c r="Q19" s="24"/>
      <c r="R19" s="24"/>
      <c r="S19" s="24"/>
    </row>
    <row r="20" spans="1:19" ht="26.25" thickBot="1" x14ac:dyDescent="0.25">
      <c r="A20" s="58" t="s">
        <v>92</v>
      </c>
      <c r="B20" s="89" t="s">
        <v>46</v>
      </c>
      <c r="C20" s="65" t="s">
        <v>93</v>
      </c>
      <c r="D20" s="65" t="s">
        <v>81</v>
      </c>
      <c r="E20" s="68">
        <v>3</v>
      </c>
      <c r="F20" s="58"/>
      <c r="G20" s="25"/>
      <c r="H20" s="25"/>
      <c r="I20" s="25"/>
      <c r="J20" s="25"/>
      <c r="K20" s="25"/>
      <c r="L20" s="25"/>
      <c r="M20" s="58"/>
      <c r="N20" s="25"/>
      <c r="O20" s="25"/>
      <c r="P20" s="25"/>
      <c r="Q20" s="25"/>
      <c r="R20" s="25"/>
      <c r="S20" s="25"/>
    </row>
    <row r="21" spans="1:19" x14ac:dyDescent="0.2">
      <c r="A21" s="27" t="s">
        <v>94</v>
      </c>
      <c r="B21" s="28" t="s">
        <v>46</v>
      </c>
      <c r="C21" s="64" t="s">
        <v>95</v>
      </c>
      <c r="D21" s="66" t="s">
        <v>81</v>
      </c>
      <c r="E21" s="67">
        <v>2</v>
      </c>
      <c r="F21" s="30"/>
      <c r="G21" s="24"/>
      <c r="H21" s="24"/>
      <c r="I21" s="24"/>
      <c r="J21" s="24"/>
      <c r="K21" s="24"/>
      <c r="L21" s="24"/>
      <c r="M21" s="30"/>
      <c r="N21" s="24"/>
      <c r="O21" s="24"/>
      <c r="P21" s="24"/>
      <c r="Q21" s="24"/>
      <c r="R21" s="24"/>
      <c r="S21" s="24"/>
    </row>
    <row r="22" spans="1:19" ht="13.5" thickBot="1" x14ac:dyDescent="0.25">
      <c r="A22" s="58" t="s">
        <v>96</v>
      </c>
      <c r="B22" s="89" t="s">
        <v>42</v>
      </c>
      <c r="C22" s="65" t="s">
        <v>97</v>
      </c>
      <c r="D22" s="65" t="s">
        <v>81</v>
      </c>
      <c r="E22" s="68">
        <v>2</v>
      </c>
      <c r="F22" s="58"/>
      <c r="G22" s="25"/>
      <c r="H22" s="25"/>
      <c r="I22" s="25"/>
      <c r="J22" s="25"/>
      <c r="K22" s="25"/>
      <c r="L22" s="25"/>
      <c r="M22" s="58"/>
      <c r="N22" s="25"/>
      <c r="O22" s="25"/>
      <c r="P22" s="25"/>
      <c r="Q22" s="25"/>
      <c r="R22" s="25"/>
      <c r="S22" s="25"/>
    </row>
    <row r="23" spans="1:19" ht="13.5" thickBot="1" x14ac:dyDescent="0.25">
      <c r="A23" s="58" t="s">
        <v>98</v>
      </c>
      <c r="B23" s="89" t="s">
        <v>42</v>
      </c>
      <c r="C23" s="65" t="s">
        <v>99</v>
      </c>
      <c r="D23" s="65" t="s">
        <v>81</v>
      </c>
      <c r="E23" s="68">
        <v>1</v>
      </c>
      <c r="F23" s="58"/>
      <c r="G23" s="25"/>
      <c r="H23" s="25"/>
      <c r="I23" s="25"/>
      <c r="J23" s="25"/>
      <c r="K23" s="25"/>
      <c r="L23" s="25"/>
      <c r="M23" s="58"/>
      <c r="N23" s="25"/>
      <c r="O23" s="25"/>
      <c r="P23" s="25"/>
      <c r="Q23" s="25"/>
      <c r="R23" s="25"/>
      <c r="S23" s="25"/>
    </row>
    <row r="24" spans="1:19" x14ac:dyDescent="0.2">
      <c r="C24" s="12" t="s">
        <v>13</v>
      </c>
      <c r="D24" s="54"/>
      <c r="E24" s="87">
        <v>42</v>
      </c>
      <c r="F24" s="9">
        <f>IF(SUM(F11:F23)&gt;0,E24-SUM(F11:F23),NA())</f>
        <v>40</v>
      </c>
      <c r="G24" s="9">
        <f>IF(SUM(G11:G23)&gt;0,E24-SUM(F11:G23),NA())</f>
        <v>35</v>
      </c>
      <c r="H24" s="9">
        <f>IF(SUM(H11:H23)&gt;0,F24-SUM(G11:H23),NA())</f>
        <v>31</v>
      </c>
      <c r="I24" s="9">
        <f>IF(SUM(I11:I23)&gt;0,E24-SUM(F11:I23),NA())</f>
        <v>27</v>
      </c>
      <c r="J24" s="9">
        <f>IF(SUM(J11:J23)&gt;0,E24-SUM(F11:J23),NA())</f>
        <v>23</v>
      </c>
      <c r="K24" s="9">
        <f>IF(SUM(K11:K23)&gt;0,E24-SUM(F11:K23),NA())</f>
        <v>20</v>
      </c>
      <c r="L24" s="9" t="e">
        <f>IF(SUM(L11:L23)&gt;0,E24-SUM(F11:L23),NA())</f>
        <v>#N/A</v>
      </c>
      <c r="M24" s="9" t="e">
        <f>IF(SUM(M11:M23)&gt;0,E24-SUM(F11:M23),NA())</f>
        <v>#N/A</v>
      </c>
      <c r="N24" s="9" t="e">
        <f>IF(SUM(N11:N23)&gt;0,E24-SUM(F11:N23),NA())</f>
        <v>#N/A</v>
      </c>
      <c r="O24" s="9" t="e">
        <f>IF(SUM(O11:O23)&gt;0,E24-SUM(F11:O23),NA())</f>
        <v>#N/A</v>
      </c>
      <c r="P24" s="9" t="e">
        <f>IF(SUM(P11:P23)&gt;0,E24-SUM(F11:P23),NA())</f>
        <v>#N/A</v>
      </c>
      <c r="Q24" s="9" t="e">
        <f>IF(SUM(Q11:Q23)&gt;0,E24-SUM(F11:Q23),NA())</f>
        <v>#N/A</v>
      </c>
      <c r="R24" s="9" t="e">
        <f>IF(SUM(R11:R23)&gt;0,E24-SUM(F11:R23),NA())</f>
        <v>#N/A</v>
      </c>
      <c r="S24" s="9" t="e">
        <f>IF(SUM(S11:S23)&gt;0,E24-SUM(F11:S23),NA())</f>
        <v>#N/A</v>
      </c>
    </row>
    <row r="25" spans="1:19" x14ac:dyDescent="0.2">
      <c r="C25" s="12" t="s">
        <v>14</v>
      </c>
      <c r="D25" s="55"/>
      <c r="E25" s="88"/>
      <c r="F25" s="10">
        <f>E24-(E24/14)</f>
        <v>39</v>
      </c>
      <c r="G25" s="10">
        <f>F25-(E24/14)</f>
        <v>36</v>
      </c>
      <c r="H25" s="10">
        <f>G25-(E24/14)</f>
        <v>33</v>
      </c>
      <c r="I25" s="10">
        <f>H25-(E24/14)</f>
        <v>30</v>
      </c>
      <c r="J25" s="10">
        <f>I25-(E24/14)</f>
        <v>27</v>
      </c>
      <c r="K25" s="10">
        <f>J25-(E24/14)</f>
        <v>24</v>
      </c>
      <c r="L25" s="10">
        <f>K25-(E24/14)</f>
        <v>21</v>
      </c>
      <c r="M25" s="10">
        <f>L25-(E24/14)</f>
        <v>18</v>
      </c>
      <c r="N25" s="10">
        <f>M25-(E24/14)</f>
        <v>15</v>
      </c>
      <c r="O25" s="10">
        <f>N25-(E24/14)</f>
        <v>12</v>
      </c>
      <c r="P25" s="10">
        <f>O25-(E24/14)</f>
        <v>9</v>
      </c>
      <c r="Q25" s="10">
        <f>P25-(E24/14)</f>
        <v>6</v>
      </c>
      <c r="R25" s="10">
        <f>Q25-(E24/14)</f>
        <v>3</v>
      </c>
      <c r="S25" s="10">
        <f>R25-(E24/14)</f>
        <v>0</v>
      </c>
    </row>
    <row r="26" spans="1:19" x14ac:dyDescent="0.2">
      <c r="M26" s="4"/>
      <c r="N26" s="4"/>
      <c r="O26" s="4"/>
      <c r="P26" s="4"/>
      <c r="Q26" s="4"/>
      <c r="R26" s="4"/>
      <c r="S26" s="4"/>
    </row>
    <row r="27" spans="1:19" x14ac:dyDescent="0.2">
      <c r="M27" s="4"/>
      <c r="N27" s="4"/>
      <c r="O27" s="4"/>
      <c r="P27" s="4"/>
      <c r="Q27" s="4"/>
      <c r="R27" s="4"/>
      <c r="S27" s="4"/>
    </row>
    <row r="28" spans="1:19" x14ac:dyDescent="0.2">
      <c r="M28" s="4"/>
      <c r="N28" s="4"/>
      <c r="O28" s="4"/>
      <c r="P28" s="4"/>
      <c r="Q28" s="4"/>
      <c r="R28" s="4"/>
      <c r="S28" s="4"/>
    </row>
    <row r="29" spans="1:19" x14ac:dyDescent="0.2">
      <c r="M29" s="4"/>
      <c r="N29" s="4"/>
      <c r="O29" s="4"/>
      <c r="P29" s="4"/>
      <c r="Q29" s="4"/>
      <c r="R29" s="4"/>
      <c r="S29" s="4"/>
    </row>
    <row r="30" spans="1:19" x14ac:dyDescent="0.2">
      <c r="K30" s="7">
        <v>0</v>
      </c>
      <c r="L30" s="4">
        <f>SUM(E11:E19)</f>
        <v>34</v>
      </c>
      <c r="M30" s="4"/>
      <c r="N30" s="4"/>
      <c r="O30" s="4"/>
      <c r="P30" s="4"/>
      <c r="Q30" s="4"/>
      <c r="R30" s="7">
        <v>0</v>
      </c>
      <c r="S30" s="4"/>
    </row>
    <row r="31" spans="1:19" x14ac:dyDescent="0.2">
      <c r="K31" s="7">
        <v>10</v>
      </c>
      <c r="L31" s="7">
        <v>0</v>
      </c>
      <c r="M31" s="4"/>
      <c r="N31" s="4"/>
      <c r="O31" s="4"/>
      <c r="P31" s="4"/>
      <c r="Q31" s="4"/>
      <c r="R31" s="7">
        <v>10</v>
      </c>
      <c r="S31" s="7"/>
    </row>
    <row r="32" spans="1:19" x14ac:dyDescent="0.2">
      <c r="M32" s="4"/>
      <c r="N32" s="4"/>
      <c r="O32" s="4"/>
      <c r="P32" s="4"/>
      <c r="Q32" s="4"/>
      <c r="R32" s="4"/>
      <c r="S32" s="4"/>
    </row>
    <row r="33" spans="13:19" x14ac:dyDescent="0.2">
      <c r="M33" s="4"/>
      <c r="N33" s="4"/>
      <c r="O33" s="4"/>
      <c r="P33" s="4"/>
      <c r="Q33" s="4"/>
      <c r="R33" s="4"/>
      <c r="S33" s="4"/>
    </row>
    <row r="34" spans="13:19" x14ac:dyDescent="0.2">
      <c r="M34" s="4"/>
      <c r="N34" s="4"/>
      <c r="O34" s="4"/>
      <c r="P34" s="4"/>
      <c r="Q34" s="4"/>
      <c r="R34" s="4"/>
      <c r="S34" s="4"/>
    </row>
    <row r="35" spans="13:19" x14ac:dyDescent="0.2">
      <c r="M35" s="4"/>
      <c r="N35" s="4"/>
      <c r="O35" s="4"/>
      <c r="P35" s="4"/>
      <c r="Q35" s="4"/>
      <c r="R35" s="4"/>
      <c r="S35" s="4"/>
    </row>
    <row r="36" spans="13:19" x14ac:dyDescent="0.2">
      <c r="M36" s="4"/>
      <c r="N36" s="4"/>
      <c r="O36" s="4"/>
      <c r="P36" s="4"/>
      <c r="Q36" s="4"/>
      <c r="R36" s="4"/>
      <c r="S36" s="4"/>
    </row>
    <row r="37" spans="13:19" x14ac:dyDescent="0.2">
      <c r="M37" s="4"/>
      <c r="N37" s="4"/>
      <c r="O37" s="4"/>
      <c r="P37" s="4"/>
      <c r="Q37" s="4"/>
      <c r="R37" s="4"/>
      <c r="S37" s="4"/>
    </row>
    <row r="38" spans="13:19" x14ac:dyDescent="0.2">
      <c r="M38" s="4"/>
      <c r="N38" s="4"/>
      <c r="O38" s="4"/>
      <c r="P38" s="4"/>
      <c r="Q38" s="4"/>
      <c r="R38" s="4"/>
      <c r="S38" s="4"/>
    </row>
    <row r="39" spans="13:19" x14ac:dyDescent="0.2">
      <c r="M39" s="4"/>
      <c r="N39" s="4"/>
      <c r="O39" s="4"/>
      <c r="P39" s="4"/>
      <c r="Q39" s="4"/>
      <c r="R39" s="4"/>
      <c r="S39" s="4"/>
    </row>
    <row r="40" spans="13:19" x14ac:dyDescent="0.2">
      <c r="M40" s="4"/>
      <c r="N40" s="4"/>
      <c r="O40" s="4"/>
      <c r="P40" s="4"/>
      <c r="Q40" s="4"/>
      <c r="R40" s="4"/>
      <c r="S40" s="4"/>
    </row>
    <row r="41" spans="13:19" x14ac:dyDescent="0.2">
      <c r="M41" s="4"/>
      <c r="N41" s="4"/>
      <c r="O41" s="4"/>
      <c r="P41" s="4"/>
      <c r="Q41" s="4"/>
      <c r="R41" s="4"/>
      <c r="S41" s="4"/>
    </row>
    <row r="42" spans="13:19" x14ac:dyDescent="0.2">
      <c r="M42" s="4"/>
      <c r="N42" s="4"/>
      <c r="O42" s="4"/>
      <c r="P42" s="4"/>
      <c r="Q42" s="4"/>
      <c r="R42" s="4"/>
      <c r="S42" s="4"/>
    </row>
    <row r="43" spans="13:19" x14ac:dyDescent="0.2">
      <c r="M43" s="4"/>
      <c r="N43" s="4"/>
      <c r="O43" s="4"/>
      <c r="P43" s="4"/>
      <c r="Q43" s="4"/>
      <c r="R43" s="4"/>
      <c r="S43" s="4"/>
    </row>
    <row r="44" spans="13:19" x14ac:dyDescent="0.2">
      <c r="M44" s="4"/>
      <c r="N44" s="4"/>
      <c r="O44" s="4"/>
      <c r="P44" s="4"/>
      <c r="Q44" s="4"/>
      <c r="R44" s="4"/>
      <c r="S44" s="4"/>
    </row>
    <row r="45" spans="13:19" x14ac:dyDescent="0.2">
      <c r="M45" s="4"/>
      <c r="N45" s="4"/>
      <c r="O45" s="4"/>
      <c r="P45" s="4"/>
      <c r="Q45" s="4"/>
      <c r="R45" s="4"/>
      <c r="S45" s="4"/>
    </row>
    <row r="46" spans="13:19" x14ac:dyDescent="0.2">
      <c r="M46" s="4"/>
      <c r="N46" s="4"/>
      <c r="O46" s="4"/>
      <c r="P46" s="4"/>
      <c r="Q46" s="4"/>
      <c r="R46" s="4"/>
      <c r="S46" s="4"/>
    </row>
    <row r="47" spans="13:19" x14ac:dyDescent="0.2">
      <c r="M47" s="4"/>
      <c r="N47" s="4"/>
      <c r="O47" s="4"/>
      <c r="P47" s="4"/>
      <c r="Q47" s="4"/>
      <c r="R47" s="4"/>
      <c r="S47" s="4"/>
    </row>
    <row r="48" spans="13:19" x14ac:dyDescent="0.2">
      <c r="M48" s="4"/>
      <c r="N48" s="4"/>
      <c r="O48" s="4"/>
      <c r="P48" s="4"/>
      <c r="Q48" s="4"/>
      <c r="R48" s="4"/>
      <c r="S48" s="4"/>
    </row>
  </sheetData>
  <autoFilter ref="A10:E10" xr:uid="{00000000-0009-0000-0000-000002000000}"/>
  <mergeCells count="5">
    <mergeCell ref="A2:L2"/>
    <mergeCell ref="F8:L8"/>
    <mergeCell ref="M8:S8"/>
    <mergeCell ref="E4:J4"/>
    <mergeCell ref="E24:E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48"/>
  <sheetViews>
    <sheetView workbookViewId="0">
      <selection activeCell="E4" sqref="E4:J4"/>
    </sheetView>
  </sheetViews>
  <sheetFormatPr defaultColWidth="11.42578125" defaultRowHeight="12.75" x14ac:dyDescent="0.2"/>
  <cols>
    <col min="1" max="2" width="6.855468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5" width="11.42578125" style="5" customWidth="1"/>
    <col min="16" max="16384" width="11.42578125" style="5"/>
  </cols>
  <sheetData>
    <row r="2" spans="1:19" ht="43.5" customHeight="1" x14ac:dyDescent="0.2">
      <c r="A2" s="77" t="str">
        <f>CONCATENATE("Sprint #",E5, "Tracking Sheet")</f>
        <v>Sprint #2Tracking Sheet</v>
      </c>
      <c r="B2" s="78"/>
      <c r="C2" s="79"/>
      <c r="D2" s="79"/>
      <c r="E2" s="80"/>
      <c r="F2" s="80"/>
      <c r="G2" s="80"/>
      <c r="H2" s="80"/>
      <c r="I2" s="80"/>
      <c r="J2" s="80"/>
      <c r="K2" s="80"/>
      <c r="L2" s="80"/>
    </row>
    <row r="4" spans="1:19" x14ac:dyDescent="0.2">
      <c r="A4" s="2"/>
      <c r="C4" s="32" t="s">
        <v>0</v>
      </c>
      <c r="D4" s="51"/>
      <c r="E4" s="84"/>
      <c r="F4" s="85"/>
      <c r="G4" s="85"/>
      <c r="H4" s="85"/>
      <c r="I4" s="85"/>
      <c r="J4" s="86"/>
    </row>
    <row r="5" spans="1:19" x14ac:dyDescent="0.2">
      <c r="C5" s="11" t="s">
        <v>2</v>
      </c>
      <c r="D5" s="11"/>
      <c r="E5" s="22">
        <v>2</v>
      </c>
    </row>
    <row r="6" spans="1:19" x14ac:dyDescent="0.2">
      <c r="C6" s="11" t="s">
        <v>3</v>
      </c>
      <c r="D6" s="11"/>
      <c r="E6" s="23"/>
    </row>
    <row r="7" spans="1:19" ht="13.5" customHeight="1" thickBot="1" x14ac:dyDescent="0.25">
      <c r="C7" s="3"/>
      <c r="D7" s="11" t="s">
        <v>4</v>
      </c>
      <c r="E7" s="22" t="s">
        <v>5</v>
      </c>
    </row>
    <row r="8" spans="1:19" ht="13.5" customHeight="1" thickBot="1" x14ac:dyDescent="0.25">
      <c r="F8" s="81" t="s">
        <v>6</v>
      </c>
      <c r="G8" s="82"/>
      <c r="H8" s="82"/>
      <c r="I8" s="82"/>
      <c r="J8" s="82"/>
      <c r="K8" s="82"/>
      <c r="L8" s="83"/>
      <c r="M8" s="81" t="s">
        <v>7</v>
      </c>
      <c r="N8" s="82"/>
      <c r="O8" s="82"/>
      <c r="P8" s="82"/>
      <c r="Q8" s="82"/>
      <c r="R8" s="82"/>
      <c r="S8" s="83"/>
    </row>
    <row r="9" spans="1:19" ht="12.75" customHeight="1" thickBot="1" x14ac:dyDescent="0.25">
      <c r="F9" s="56">
        <v>1</v>
      </c>
      <c r="G9" s="57">
        <v>2</v>
      </c>
      <c r="H9" s="56">
        <v>3</v>
      </c>
      <c r="I9" s="57">
        <v>4</v>
      </c>
      <c r="J9" s="56">
        <v>5</v>
      </c>
      <c r="K9" s="57">
        <v>6</v>
      </c>
      <c r="L9" s="56">
        <v>7</v>
      </c>
      <c r="M9" s="57">
        <v>8</v>
      </c>
      <c r="N9" s="56">
        <v>9</v>
      </c>
      <c r="O9" s="57">
        <v>10</v>
      </c>
      <c r="P9" s="56">
        <v>11</v>
      </c>
      <c r="Q9" s="57">
        <v>12</v>
      </c>
      <c r="R9" s="56">
        <v>13</v>
      </c>
      <c r="S9" s="57">
        <v>14</v>
      </c>
    </row>
    <row r="10" spans="1:19" s="3" customFormat="1" ht="27" customHeight="1" x14ac:dyDescent="0.2">
      <c r="A10" s="17" t="s">
        <v>8</v>
      </c>
      <c r="B10" s="19" t="s">
        <v>9</v>
      </c>
      <c r="C10" s="18" t="s">
        <v>10</v>
      </c>
      <c r="D10" s="52" t="s">
        <v>11</v>
      </c>
      <c r="E10" s="20" t="s">
        <v>12</v>
      </c>
      <c r="F10" s="26">
        <f>E6</f>
        <v>0</v>
      </c>
      <c r="G10" s="21">
        <f t="shared" ref="G10:S10" si="0">F10+1</f>
        <v>1</v>
      </c>
      <c r="H10" s="21">
        <f t="shared" si="0"/>
        <v>2</v>
      </c>
      <c r="I10" s="21">
        <f t="shared" si="0"/>
        <v>3</v>
      </c>
      <c r="J10" s="21">
        <f t="shared" si="0"/>
        <v>4</v>
      </c>
      <c r="K10" s="21">
        <f t="shared" si="0"/>
        <v>5</v>
      </c>
      <c r="L10" s="21">
        <f t="shared" si="0"/>
        <v>6</v>
      </c>
      <c r="M10" s="21">
        <f t="shared" si="0"/>
        <v>7</v>
      </c>
      <c r="N10" s="21">
        <f t="shared" si="0"/>
        <v>8</v>
      </c>
      <c r="O10" s="21">
        <f t="shared" si="0"/>
        <v>9</v>
      </c>
      <c r="P10" s="21">
        <f t="shared" si="0"/>
        <v>10</v>
      </c>
      <c r="Q10" s="21">
        <f t="shared" si="0"/>
        <v>11</v>
      </c>
      <c r="R10" s="21">
        <f t="shared" si="0"/>
        <v>12</v>
      </c>
      <c r="S10" s="21">
        <f t="shared" si="0"/>
        <v>13</v>
      </c>
    </row>
    <row r="11" spans="1:19" s="31" customFormat="1" x14ac:dyDescent="0.2">
      <c r="A11" s="27"/>
      <c r="B11" s="28"/>
      <c r="C11" s="29"/>
      <c r="D11" s="53"/>
      <c r="E11" s="67"/>
      <c r="F11" s="30"/>
      <c r="G11" s="30"/>
      <c r="H11" s="30"/>
      <c r="I11" s="30"/>
      <c r="J11" s="28"/>
      <c r="K11" s="28"/>
      <c r="L11" s="28"/>
      <c r="M11" s="30"/>
      <c r="N11" s="30"/>
      <c r="O11" s="30"/>
      <c r="P11" s="30"/>
      <c r="Q11" s="28"/>
      <c r="R11" s="28"/>
      <c r="S11" s="28"/>
    </row>
    <row r="12" spans="1:19" s="31" customFormat="1" x14ac:dyDescent="0.2">
      <c r="A12" s="27"/>
      <c r="B12" s="28"/>
      <c r="C12" s="29"/>
      <c r="D12" s="53"/>
      <c r="E12" s="67"/>
      <c r="F12" s="30"/>
      <c r="G12" s="30"/>
      <c r="H12" s="30"/>
      <c r="I12" s="30"/>
      <c r="J12" s="28"/>
      <c r="K12" s="28"/>
      <c r="L12" s="28"/>
      <c r="M12" s="30"/>
      <c r="N12" s="30"/>
      <c r="O12" s="30"/>
      <c r="P12" s="30"/>
      <c r="Q12" s="28"/>
      <c r="R12" s="28"/>
      <c r="S12" s="28"/>
    </row>
    <row r="13" spans="1:19" s="31" customFormat="1" x14ac:dyDescent="0.2">
      <c r="A13" s="27"/>
      <c r="B13" s="45"/>
      <c r="C13" s="29"/>
      <c r="D13" s="53"/>
      <c r="E13" s="67"/>
      <c r="F13" s="30"/>
      <c r="G13" s="28"/>
      <c r="H13" s="28"/>
      <c r="I13" s="28"/>
      <c r="J13" s="28"/>
      <c r="K13" s="28"/>
      <c r="L13" s="28"/>
      <c r="M13" s="30"/>
      <c r="N13" s="28"/>
      <c r="O13" s="28"/>
      <c r="P13" s="28"/>
      <c r="Q13" s="28"/>
      <c r="R13" s="28"/>
      <c r="S13" s="28"/>
    </row>
    <row r="14" spans="1:19" s="31" customFormat="1" x14ac:dyDescent="0.2">
      <c r="A14" s="27"/>
      <c r="B14" s="45"/>
      <c r="C14" s="29"/>
      <c r="D14" s="53"/>
      <c r="E14" s="67"/>
      <c r="F14" s="30"/>
      <c r="G14" s="28"/>
      <c r="H14" s="28"/>
      <c r="I14" s="28"/>
      <c r="J14" s="28"/>
      <c r="K14" s="28"/>
      <c r="L14" s="28"/>
      <c r="M14" s="30"/>
      <c r="N14" s="28"/>
      <c r="O14" s="28"/>
      <c r="P14" s="28"/>
      <c r="Q14" s="28"/>
      <c r="R14" s="28"/>
      <c r="S14" s="28"/>
    </row>
    <row r="15" spans="1:19" s="31" customFormat="1" x14ac:dyDescent="0.2">
      <c r="A15" s="27"/>
      <c r="B15" s="45"/>
      <c r="C15" s="29"/>
      <c r="D15" s="53"/>
      <c r="E15" s="67"/>
      <c r="F15" s="30"/>
      <c r="G15" s="28"/>
      <c r="H15" s="28"/>
      <c r="I15" s="28"/>
      <c r="J15" s="28"/>
      <c r="K15" s="28"/>
      <c r="L15" s="28"/>
      <c r="M15" s="30"/>
      <c r="N15" s="28"/>
      <c r="O15" s="28"/>
      <c r="P15" s="28"/>
      <c r="Q15" s="28"/>
      <c r="R15" s="28"/>
      <c r="S15" s="28"/>
    </row>
    <row r="16" spans="1:19" s="31" customFormat="1" x14ac:dyDescent="0.2">
      <c r="A16" s="27"/>
      <c r="B16" s="45"/>
      <c r="C16" s="29"/>
      <c r="D16" s="53"/>
      <c r="E16" s="67"/>
      <c r="F16" s="30"/>
      <c r="G16" s="28"/>
      <c r="H16" s="28"/>
      <c r="I16" s="28"/>
      <c r="J16" s="28"/>
      <c r="K16" s="28"/>
      <c r="L16" s="28"/>
      <c r="M16" s="30"/>
      <c r="N16" s="28"/>
      <c r="O16" s="28"/>
      <c r="P16" s="28"/>
      <c r="Q16" s="28"/>
      <c r="R16" s="28"/>
      <c r="S16" s="28"/>
    </row>
    <row r="17" spans="1:19" s="8" customFormat="1" x14ac:dyDescent="0.2">
      <c r="A17" s="27"/>
      <c r="B17" s="45"/>
      <c r="C17" s="64"/>
      <c r="D17" s="66"/>
      <c r="E17" s="67"/>
      <c r="F17" s="30"/>
      <c r="G17" s="24"/>
      <c r="H17" s="24"/>
      <c r="I17" s="24"/>
      <c r="J17" s="24"/>
      <c r="K17" s="24"/>
      <c r="L17" s="24"/>
      <c r="M17" s="30"/>
      <c r="N17" s="24"/>
      <c r="O17" s="24"/>
      <c r="P17" s="24"/>
      <c r="Q17" s="24"/>
      <c r="R17" s="24"/>
      <c r="S17" s="24"/>
    </row>
    <row r="18" spans="1:19" s="8" customFormat="1" ht="13.5" customHeight="1" thickBot="1" x14ac:dyDescent="0.25">
      <c r="A18" s="58"/>
      <c r="B18" s="59"/>
      <c r="C18" s="65"/>
      <c r="D18" s="65"/>
      <c r="E18" s="68"/>
      <c r="F18" s="58"/>
      <c r="G18" s="25"/>
      <c r="H18" s="25"/>
      <c r="I18" s="25"/>
      <c r="J18" s="25"/>
      <c r="K18" s="25"/>
      <c r="L18" s="25"/>
      <c r="M18" s="58"/>
      <c r="N18" s="25"/>
      <c r="O18" s="25"/>
      <c r="P18" s="25"/>
      <c r="Q18" s="25"/>
      <c r="R18" s="25"/>
      <c r="S18" s="25"/>
    </row>
    <row r="19" spans="1:19" x14ac:dyDescent="0.2">
      <c r="A19" s="2"/>
      <c r="B19" s="2"/>
      <c r="C19"/>
      <c r="D19"/>
      <c r="E19"/>
      <c r="M19" s="4"/>
      <c r="N19" s="4"/>
      <c r="O19" s="4"/>
      <c r="P19" s="4"/>
      <c r="Q19" s="4"/>
      <c r="R19" s="4"/>
      <c r="S19" s="4"/>
    </row>
    <row r="20" spans="1:19" x14ac:dyDescent="0.2">
      <c r="A20" s="2"/>
      <c r="B20" s="2"/>
      <c r="C20"/>
      <c r="D20"/>
      <c r="E20"/>
      <c r="M20" s="4"/>
      <c r="N20" s="4"/>
      <c r="O20" s="4"/>
      <c r="P20" s="4"/>
      <c r="Q20" s="4"/>
      <c r="R20" s="4"/>
      <c r="S20" s="4"/>
    </row>
    <row r="21" spans="1:19" x14ac:dyDescent="0.2">
      <c r="A21" s="2"/>
      <c r="B21" s="2"/>
      <c r="C21"/>
      <c r="D21"/>
      <c r="E21"/>
      <c r="M21" s="4"/>
      <c r="N21" s="4"/>
      <c r="O21" s="4"/>
      <c r="P21" s="4"/>
      <c r="Q21" s="4"/>
      <c r="R21" s="4"/>
      <c r="S21" s="4"/>
    </row>
    <row r="22" spans="1:19" x14ac:dyDescent="0.2">
      <c r="A22" s="2"/>
      <c r="B22" s="2"/>
      <c r="C22"/>
      <c r="D22"/>
      <c r="E22"/>
      <c r="M22" s="4"/>
      <c r="N22" s="4"/>
      <c r="O22" s="4"/>
      <c r="P22" s="4"/>
      <c r="Q22" s="4"/>
      <c r="R22" s="4"/>
      <c r="S22" s="4"/>
    </row>
    <row r="23" spans="1:19" x14ac:dyDescent="0.2">
      <c r="A23" s="2"/>
      <c r="B23" s="2"/>
      <c r="C23"/>
      <c r="D23"/>
      <c r="E23"/>
      <c r="M23" s="4"/>
      <c r="N23" s="4"/>
      <c r="O23" s="4"/>
      <c r="P23" s="4"/>
      <c r="Q23" s="4"/>
      <c r="R23" s="4"/>
      <c r="S23" s="4"/>
    </row>
    <row r="24" spans="1:19" x14ac:dyDescent="0.2">
      <c r="C24" s="12" t="s">
        <v>13</v>
      </c>
      <c r="D24" s="54"/>
      <c r="E24" s="87" t="e">
        <f>8*2*E7</f>
        <v>#VALUE!</v>
      </c>
      <c r="F24" s="9" t="e">
        <f>IF(SUM(F11:F23)&gt;0,E24-SUM(F11:F23),NA())</f>
        <v>#N/A</v>
      </c>
      <c r="G24" s="9" t="e">
        <f>IF(SUM(G11:G23)&gt;0,E24-SUM(F11:G23),NA())</f>
        <v>#N/A</v>
      </c>
      <c r="H24" s="9" t="e">
        <f>IF(SUM(H11:H23)&gt;0,F24-SUM(G11:H23),NA())</f>
        <v>#N/A</v>
      </c>
      <c r="I24" s="9" t="e">
        <f>IF(SUM(I11:I23)&gt;0,E24-SUM(F11:I23),NA())</f>
        <v>#N/A</v>
      </c>
      <c r="J24" s="9" t="e">
        <f>IF(SUM(J11:J23)&gt;0,E24-SUM(F11:J23),NA())</f>
        <v>#N/A</v>
      </c>
      <c r="K24" s="9" t="e">
        <f>IF(SUM(K11:K23)&gt;0,E24-SUM(F11:K23),NA())</f>
        <v>#N/A</v>
      </c>
      <c r="L24" s="9" t="e">
        <f>IF(SUM(L11:L23)&gt;0,E24-SUM(F11:L23),NA())</f>
        <v>#N/A</v>
      </c>
      <c r="M24" s="9" t="e">
        <f>IF(SUM(M11:M23)&gt;0,E24-SUM(F11:M23),NA())</f>
        <v>#N/A</v>
      </c>
      <c r="N24" s="9" t="e">
        <f>IF(SUM(N11:N23)&gt;0,E24-SUM(F11:N23),NA())</f>
        <v>#N/A</v>
      </c>
      <c r="O24" s="9" t="e">
        <f>IF(SUM(O11:O23)&gt;0,E24-SUM(F11:O23),NA())</f>
        <v>#N/A</v>
      </c>
      <c r="P24" s="9" t="e">
        <f>IF(SUM(P11:P23)&gt;0,E24-SUM(F11:P23),NA())</f>
        <v>#N/A</v>
      </c>
      <c r="Q24" s="9" t="e">
        <f>IF(SUM(Q11:Q23)&gt;0,E24-SUM(F11:Q23),NA())</f>
        <v>#N/A</v>
      </c>
      <c r="R24" s="9" t="e">
        <f>IF(SUM(R11:R23)&gt;0,E24-SUM(F11:R23),NA())</f>
        <v>#N/A</v>
      </c>
      <c r="S24" s="9" t="e">
        <f>IF(SUM(S11:S23)&gt;0,E24-SUM(F11:S23),NA())</f>
        <v>#N/A</v>
      </c>
    </row>
    <row r="25" spans="1:19" x14ac:dyDescent="0.2">
      <c r="C25" s="12" t="s">
        <v>14</v>
      </c>
      <c r="D25" s="55"/>
      <c r="E25" s="88"/>
      <c r="F25" s="10" t="e">
        <f>E24-(E24/14)</f>
        <v>#VALUE!</v>
      </c>
      <c r="G25" s="10" t="e">
        <f>F25-(E24/14)</f>
        <v>#VALUE!</v>
      </c>
      <c r="H25" s="10" t="e">
        <f>G25-(E24/14)</f>
        <v>#VALUE!</v>
      </c>
      <c r="I25" s="10" t="e">
        <f>H25-(E24/14)</f>
        <v>#VALUE!</v>
      </c>
      <c r="J25" s="10" t="e">
        <f>I25-(E24/14)</f>
        <v>#VALUE!</v>
      </c>
      <c r="K25" s="10" t="e">
        <f>J25-(E24/14)</f>
        <v>#VALUE!</v>
      </c>
      <c r="L25" s="10" t="e">
        <f>K25-(E24/14)</f>
        <v>#VALUE!</v>
      </c>
      <c r="M25" s="10" t="e">
        <f>L25-(E24/14)</f>
        <v>#VALUE!</v>
      </c>
      <c r="N25" s="10" t="e">
        <f>M25-(E24/14)</f>
        <v>#VALUE!</v>
      </c>
      <c r="O25" s="10" t="e">
        <f>N25-(E24/14)</f>
        <v>#VALUE!</v>
      </c>
      <c r="P25" s="10" t="e">
        <f>O25-(E24/14)</f>
        <v>#VALUE!</v>
      </c>
      <c r="Q25" s="10" t="e">
        <f>P25-(E24/14)</f>
        <v>#VALUE!</v>
      </c>
      <c r="R25" s="10" t="e">
        <f>Q25-(E24/14)</f>
        <v>#VALUE!</v>
      </c>
      <c r="S25" s="10" t="e">
        <f>R25-(E24/14)</f>
        <v>#VALUE!</v>
      </c>
    </row>
    <row r="26" spans="1:19" x14ac:dyDescent="0.2">
      <c r="M26" s="4"/>
      <c r="N26" s="4"/>
      <c r="O26" s="4"/>
      <c r="P26" s="4"/>
      <c r="Q26" s="4"/>
      <c r="R26" s="4"/>
      <c r="S26" s="4"/>
    </row>
    <row r="27" spans="1:19" x14ac:dyDescent="0.2">
      <c r="M27" s="4"/>
      <c r="N27" s="4"/>
      <c r="O27" s="4"/>
      <c r="P27" s="4"/>
      <c r="Q27" s="4"/>
      <c r="R27" s="4"/>
      <c r="S27" s="4"/>
    </row>
    <row r="28" spans="1:19" x14ac:dyDescent="0.2">
      <c r="M28" s="4"/>
      <c r="N28" s="4"/>
      <c r="O28" s="4"/>
      <c r="P28" s="4"/>
      <c r="Q28" s="4"/>
      <c r="R28" s="4"/>
      <c r="S28" s="4"/>
    </row>
    <row r="29" spans="1:19" x14ac:dyDescent="0.2">
      <c r="M29" s="4"/>
      <c r="N29" s="4"/>
      <c r="O29" s="4"/>
      <c r="P29" s="4"/>
      <c r="Q29" s="4"/>
      <c r="R29" s="4"/>
      <c r="S29" s="4"/>
    </row>
    <row r="30" spans="1:19" x14ac:dyDescent="0.2">
      <c r="K30" s="7">
        <v>0</v>
      </c>
      <c r="L30" s="4">
        <f>SUM(E11:E19)</f>
        <v>0</v>
      </c>
      <c r="M30" s="4"/>
      <c r="N30" s="4"/>
      <c r="O30" s="4"/>
      <c r="P30" s="4"/>
      <c r="Q30" s="4"/>
      <c r="R30" s="7">
        <v>0</v>
      </c>
      <c r="S30" s="4">
        <f>SUM(L11:L19)</f>
        <v>0</v>
      </c>
    </row>
    <row r="31" spans="1:19" x14ac:dyDescent="0.2">
      <c r="K31" s="7">
        <v>10</v>
      </c>
      <c r="L31" s="7">
        <v>0</v>
      </c>
      <c r="M31" s="4"/>
      <c r="N31" s="4"/>
      <c r="O31" s="4"/>
      <c r="P31" s="4"/>
      <c r="Q31" s="4"/>
      <c r="R31" s="7">
        <v>10</v>
      </c>
      <c r="S31" s="7">
        <v>0</v>
      </c>
    </row>
    <row r="32" spans="1:19" x14ac:dyDescent="0.2">
      <c r="M32" s="4"/>
      <c r="N32" s="4"/>
      <c r="O32" s="4"/>
      <c r="P32" s="4"/>
      <c r="Q32" s="4"/>
      <c r="R32" s="4"/>
      <c r="S32" s="4"/>
    </row>
    <row r="33" spans="13:19" x14ac:dyDescent="0.2">
      <c r="M33" s="4"/>
      <c r="N33" s="4"/>
      <c r="O33" s="4"/>
      <c r="P33" s="4"/>
      <c r="Q33" s="4"/>
      <c r="R33" s="4"/>
      <c r="S33" s="4"/>
    </row>
    <row r="34" spans="13:19" x14ac:dyDescent="0.2">
      <c r="M34" s="4"/>
      <c r="N34" s="4"/>
      <c r="O34" s="4"/>
      <c r="P34" s="4"/>
      <c r="Q34" s="4"/>
      <c r="R34" s="4"/>
      <c r="S34" s="4"/>
    </row>
    <row r="35" spans="13:19" x14ac:dyDescent="0.2">
      <c r="M35" s="4"/>
      <c r="N35" s="4"/>
      <c r="O35" s="4"/>
      <c r="P35" s="4"/>
      <c r="Q35" s="4"/>
      <c r="R35" s="4"/>
      <c r="S35" s="4"/>
    </row>
    <row r="36" spans="13:19" x14ac:dyDescent="0.2">
      <c r="M36" s="4"/>
      <c r="N36" s="4"/>
      <c r="O36" s="4"/>
      <c r="P36" s="4"/>
      <c r="Q36" s="4"/>
      <c r="R36" s="4"/>
      <c r="S36" s="4"/>
    </row>
    <row r="37" spans="13:19" x14ac:dyDescent="0.2">
      <c r="M37" s="4"/>
      <c r="N37" s="4"/>
      <c r="O37" s="4"/>
      <c r="P37" s="4"/>
      <c r="Q37" s="4"/>
      <c r="R37" s="4"/>
      <c r="S37" s="4"/>
    </row>
    <row r="38" spans="13:19" x14ac:dyDescent="0.2">
      <c r="M38" s="4"/>
      <c r="N38" s="4"/>
      <c r="O38" s="4"/>
      <c r="P38" s="4"/>
      <c r="Q38" s="4"/>
      <c r="R38" s="4"/>
      <c r="S38" s="4"/>
    </row>
    <row r="39" spans="13:19" x14ac:dyDescent="0.2">
      <c r="M39" s="4"/>
      <c r="N39" s="4"/>
      <c r="O39" s="4"/>
      <c r="P39" s="4"/>
      <c r="Q39" s="4"/>
      <c r="R39" s="4"/>
      <c r="S39" s="4"/>
    </row>
    <row r="40" spans="13:19" x14ac:dyDescent="0.2">
      <c r="M40" s="4"/>
      <c r="N40" s="4"/>
      <c r="O40" s="4"/>
      <c r="P40" s="4"/>
      <c r="Q40" s="4"/>
      <c r="R40" s="4"/>
      <c r="S40" s="4"/>
    </row>
    <row r="41" spans="13:19" x14ac:dyDescent="0.2">
      <c r="M41" s="4"/>
      <c r="N41" s="4"/>
      <c r="O41" s="4"/>
      <c r="P41" s="4"/>
      <c r="Q41" s="4"/>
      <c r="R41" s="4"/>
      <c r="S41" s="4"/>
    </row>
    <row r="42" spans="13:19" x14ac:dyDescent="0.2">
      <c r="M42" s="4"/>
      <c r="N42" s="4"/>
      <c r="O42" s="4"/>
      <c r="P42" s="4"/>
      <c r="Q42" s="4"/>
      <c r="R42" s="4"/>
      <c r="S42" s="4"/>
    </row>
    <row r="43" spans="13:19" x14ac:dyDescent="0.2">
      <c r="M43" s="4"/>
      <c r="N43" s="4"/>
      <c r="O43" s="4"/>
      <c r="P43" s="4"/>
      <c r="Q43" s="4"/>
      <c r="R43" s="4"/>
      <c r="S43" s="4"/>
    </row>
    <row r="44" spans="13:19" x14ac:dyDescent="0.2">
      <c r="M44" s="4"/>
      <c r="N44" s="4"/>
      <c r="O44" s="4"/>
      <c r="P44" s="4"/>
      <c r="Q44" s="4"/>
      <c r="R44" s="4"/>
      <c r="S44" s="4"/>
    </row>
    <row r="45" spans="13:19" x14ac:dyDescent="0.2">
      <c r="M45" s="4"/>
      <c r="N45" s="4"/>
      <c r="O45" s="4"/>
      <c r="P45" s="4"/>
      <c r="Q45" s="4"/>
      <c r="R45" s="4"/>
      <c r="S45" s="4"/>
    </row>
    <row r="46" spans="13:19" x14ac:dyDescent="0.2">
      <c r="M46" s="4"/>
      <c r="N46" s="4"/>
      <c r="O46" s="4"/>
      <c r="P46" s="4"/>
      <c r="Q46" s="4"/>
      <c r="R46" s="4"/>
      <c r="S46" s="4"/>
    </row>
    <row r="47" spans="13:19" x14ac:dyDescent="0.2">
      <c r="M47" s="4"/>
      <c r="N47" s="4"/>
      <c r="O47" s="4"/>
      <c r="P47" s="4"/>
      <c r="Q47" s="4"/>
      <c r="R47" s="4"/>
      <c r="S47" s="4"/>
    </row>
    <row r="48" spans="13:19" x14ac:dyDescent="0.2">
      <c r="M48" s="4"/>
      <c r="N48" s="4"/>
      <c r="O48" s="4"/>
      <c r="P48" s="4"/>
      <c r="Q48" s="4"/>
      <c r="R48" s="4"/>
      <c r="S48" s="4"/>
    </row>
  </sheetData>
  <autoFilter ref="A10:E10" xr:uid="{00000000-0009-0000-0000-000003000000}"/>
  <mergeCells count="5">
    <mergeCell ref="A2:L2"/>
    <mergeCell ref="F8:L8"/>
    <mergeCell ref="M8:S8"/>
    <mergeCell ref="E4:J4"/>
    <mergeCell ref="E24:E25"/>
  </mergeCells>
  <conditionalFormatting sqref="F20:S20">
    <cfRule type="cellIs" dxfId="1" priority="1" stopIfTrue="1" operator="lessThan">
      <formula>F21</formula>
    </cfRule>
    <cfRule type="cellIs" dxfId="0" priority="2" stopIfTrue="1" operator="greaterThan">
      <formula>F21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Product backlog</vt:lpstr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Gérardin</dc:creator>
  <cp:lastModifiedBy>Nathan Nied</cp:lastModifiedBy>
  <cp:lastPrinted>2026-05-10T21:19:33Z</cp:lastPrinted>
  <dcterms:created xsi:type="dcterms:W3CDTF">2009-04-30T08:53:36Z</dcterms:created>
  <dcterms:modified xsi:type="dcterms:W3CDTF">2026-05-10T21:42:07Z</dcterms:modified>
</cp:coreProperties>
</file>