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codeName="ThisWorkbook"/>
  <mc:AlternateContent xmlns:mc="http://schemas.openxmlformats.org/markup-compatibility/2006">
    <mc:Choice Requires="x15">
      <x15ac:absPath xmlns:x15ac="http://schemas.microsoft.com/office/spreadsheetml/2010/11/ac" url="C:\Users\natha\Documents\Downloads\"/>
    </mc:Choice>
  </mc:AlternateContent>
  <xr:revisionPtr revIDLastSave="0" documentId="8_{F81DE0DD-C584-4C7E-A790-E172EC9B0048}" xr6:coauthVersionLast="47" xr6:coauthVersionMax="47" xr10:uidLastSave="{00000000-0000-0000-0000-000000000000}"/>
  <bookViews>
    <workbookView xWindow="-120" yWindow="-120" windowWidth="29040" windowHeight="15720" firstSheet="3" activeTab="3" xr2:uid="{00000000-000D-0000-FFFF-FFFF00000000}"/>
  </bookViews>
  <sheets>
    <sheet name="Introduction" sheetId="1" r:id="rId1"/>
    <sheet name="Product backlog" sheetId="2" r:id="rId2"/>
    <sheet name="Sprint 1" sheetId="3" r:id="rId3"/>
    <sheet name="Sprint 2" sheetId="4" r:id="rId4"/>
  </sheets>
  <definedNames>
    <definedName name="_xlnm._FilterDatabase" localSheetId="1" hidden="1">'Product backlog'!$B$1:$F$1</definedName>
    <definedName name="_xlnm._FilterDatabase" localSheetId="2" hidden="1">'Sprint 1'!$A$10:$E$10</definedName>
    <definedName name="_xlnm._FilterDatabase" localSheetId="3" hidden="1">'Sprint 2'!$A$10:$E$10</definedName>
    <definedName name="Z_988818D5_2AEF_4A9A_A55E_18240173EC63_.wvu.FilterData" localSheetId="1" hidden="1">'Product backlog'!$A$10:$F$10</definedName>
    <definedName name="Z_988818D5_2AEF_4A9A_A55E_18240173EC63_.wvu.FilterData" localSheetId="2" hidden="1">'Sprint 1'!$A$10:$E$10</definedName>
    <definedName name="Z_988818D5_2AEF_4A9A_A55E_18240173EC63_.wvu.FilterData" localSheetId="3" hidden="1">'Sprint 2'!$A$10:$E$10</definedName>
    <definedName name="Z_AF9CDD9E_3CB3_EE48_8887_F1090B6AE042_.wvu.FilterData" localSheetId="1" hidden="1">'Product backlog'!$A$10:$F$10</definedName>
    <definedName name="Z_AF9CDD9E_3CB3_EE48_8887_F1090B6AE042_.wvu.FilterData" localSheetId="2" hidden="1">'Sprint 1'!$A$10:$E$10</definedName>
    <definedName name="Z_AF9CDD9E_3CB3_EE48_8887_F1090B6AE042_.wvu.FilterData" localSheetId="3" hidden="1">'Sprint 2'!$A$10:$E$10</definedName>
    <definedName name="Z_F117AA09_D9DE_4D2E_A2DF_77AB3D7617C3_.wvu.FilterData" localSheetId="1" hidden="1">'Product backlog'!$A$10:$F$10</definedName>
    <definedName name="Z_F117AA09_D9DE_4D2E_A2DF_77AB3D7617C3_.wvu.FilterData" localSheetId="2" hidden="1">'Sprint 1'!$A$10:$E$10</definedName>
    <definedName name="Z_F117AA09_D9DE_4D2E_A2DF_77AB3D7617C3_.wvu.FilterData" localSheetId="3" hidden="1">'Sprint 2'!$A$10:$E$10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3" l="1"/>
  <c r="F25" i="3"/>
  <c r="G25" i="3" s="1"/>
  <c r="H25" i="3" s="1"/>
  <c r="I25" i="3" s="1"/>
  <c r="J25" i="3" s="1"/>
  <c r="K25" i="3" s="1"/>
  <c r="L25" i="3" s="1"/>
  <c r="M25" i="3" s="1"/>
  <c r="N25" i="3" s="1"/>
  <c r="O25" i="3" s="1"/>
  <c r="P25" i="3" s="1"/>
  <c r="Q25" i="3" s="1"/>
  <c r="R25" i="3" s="1"/>
  <c r="S25" i="3" s="1"/>
  <c r="S24" i="3"/>
  <c r="R24" i="3"/>
  <c r="Q24" i="3"/>
  <c r="P24" i="3"/>
  <c r="O24" i="3"/>
  <c r="N24" i="3"/>
  <c r="M24" i="3"/>
  <c r="L24" i="3"/>
  <c r="K24" i="3"/>
  <c r="J24" i="3"/>
  <c r="I24" i="3"/>
  <c r="H24" i="3"/>
  <c r="G24" i="3"/>
  <c r="F24" i="3"/>
  <c r="F10" i="3"/>
  <c r="G10" i="3" s="1"/>
  <c r="H10" i="3" s="1"/>
  <c r="I10" i="3" s="1"/>
  <c r="J10" i="3" s="1"/>
  <c r="K10" i="3" s="1"/>
  <c r="L10" i="3" s="1"/>
  <c r="M10" i="3" s="1"/>
  <c r="N10" i="3" s="1"/>
  <c r="O10" i="3" s="1"/>
  <c r="P10" i="3" s="1"/>
  <c r="Q10" i="3" s="1"/>
  <c r="R10" i="3" s="1"/>
  <c r="S10" i="3" s="1"/>
  <c r="A2" i="3"/>
  <c r="S57" i="4"/>
  <c r="L57" i="4"/>
  <c r="S51" i="4"/>
  <c r="R51" i="4"/>
  <c r="Q51" i="4"/>
  <c r="P51" i="4"/>
  <c r="O51" i="4"/>
  <c r="N51" i="4"/>
  <c r="M51" i="4"/>
  <c r="L51" i="4"/>
  <c r="E51" i="4"/>
  <c r="F51" i="4" s="1"/>
  <c r="F10" i="4"/>
  <c r="G10" i="4" s="1"/>
  <c r="H10" i="4" s="1"/>
  <c r="I10" i="4" s="1"/>
  <c r="J10" i="4" s="1"/>
  <c r="K10" i="4" s="1"/>
  <c r="L10" i="4" s="1"/>
  <c r="M10" i="4" s="1"/>
  <c r="N10" i="4" s="1"/>
  <c r="O10" i="4" s="1"/>
  <c r="P10" i="4" s="1"/>
  <c r="Q10" i="4" s="1"/>
  <c r="R10" i="4" s="1"/>
  <c r="S10" i="4" s="1"/>
  <c r="A2" i="4"/>
  <c r="F52" i="4" l="1"/>
  <c r="G52" i="4" s="1"/>
  <c r="H52" i="4" s="1"/>
  <c r="I52" i="4" s="1"/>
  <c r="J52" i="4" s="1"/>
  <c r="K52" i="4" s="1"/>
  <c r="L52" i="4" s="1"/>
  <c r="M52" i="4" s="1"/>
  <c r="N52" i="4" s="1"/>
  <c r="O52" i="4" s="1"/>
  <c r="P52" i="4" s="1"/>
  <c r="Q52" i="4" s="1"/>
  <c r="R52" i="4" s="1"/>
  <c r="S52" i="4" s="1"/>
  <c r="J51" i="4"/>
  <c r="K51" i="4"/>
  <c r="H51" i="4"/>
  <c r="G51" i="4"/>
  <c r="I51" i="4"/>
</calcChain>
</file>

<file path=xl/sharedStrings.xml><?xml version="1.0" encoding="utf-8"?>
<sst xmlns="http://schemas.openxmlformats.org/spreadsheetml/2006/main" count="263" uniqueCount="164">
  <si>
    <t>Aether Flow</t>
  </si>
  <si>
    <t>What is this?</t>
  </si>
  <si>
    <t>This workbook is meant to help manage and piroritize the user stories and features using scrum.</t>
  </si>
  <si>
    <t>How to use and read this document?</t>
  </si>
  <si>
    <t xml:space="preserve">Before project start: The product owner is responsible for managing and maintaining the product backlog of user stories. </t>
  </si>
  <si>
    <t>Before each sprint: The vendor will break down the user stories into tasks.</t>
  </si>
  <si>
    <t>Notes</t>
  </si>
  <si>
    <t>Cells that you can edit have a blue background.</t>
  </si>
  <si>
    <t>Sprints are assumed to be 2 weeks long (10 working days)</t>
  </si>
  <si>
    <t>Licence</t>
  </si>
  <si>
    <t>This work is licensed under a Creative Commons Attribution-Share Alike 3.0 Unported License.</t>
  </si>
  <si>
    <t>Origins</t>
  </si>
  <si>
    <t>This work is inspired by the Scrum Template published by Nicolas Martignole on his "Touilleur Express" blog. Adapted by Olivier Gérardin.</t>
  </si>
  <si>
    <t>Organizations</t>
  </si>
  <si>
    <t>CS492 Team Project</t>
  </si>
  <si>
    <t>Project</t>
  </si>
  <si>
    <t>AetherFlow</t>
  </si>
  <si>
    <t>UI/UX Specialist &amp; Lead</t>
  </si>
  <si>
    <t>Daniel Rhoads</t>
  </si>
  <si>
    <t>Scrum Master (Project Coordinator)</t>
  </si>
  <si>
    <t>Alex Johnston</t>
  </si>
  <si>
    <t>Logic Architect (Backend)</t>
  </si>
  <si>
    <t>Nathan Nied</t>
  </si>
  <si>
    <t>Detail-Oriented Tester (QA)</t>
  </si>
  <si>
    <t>Garrett Lassalle</t>
  </si>
  <si>
    <t xml:space="preserve"> Story ID</t>
  </si>
  <si>
    <t>Title</t>
  </si>
  <si>
    <t>Description</t>
  </si>
  <si>
    <t>Acceptance Criteria</t>
  </si>
  <si>
    <t>Priority #</t>
  </si>
  <si>
    <t>Sprint #</t>
  </si>
  <si>
    <t>Responsibility</t>
  </si>
  <si>
    <t>AF-101</t>
  </si>
  <si>
    <t>Secure User Login</t>
  </si>
  <si>
    <t>As a Warehouse Manager, I want to login with encrypted credentials so that only authorized personnel can access the inventory.</t>
  </si>
  <si>
    <t xml:space="preserve">Password hashing implemented; HTTPS encryption active; System blocks unauthorized login attempts. </t>
  </si>
  <si>
    <t>AF-102</t>
  </si>
  <si>
    <t>Cloud Repository &amp; Version Control</t>
  </si>
  <si>
    <t>As a Developer, I want a centralized cloud repository so that the team can collaborate concurrently and maintain version control.</t>
  </si>
  <si>
    <t>GitHub repo initialized; Standard folder structure; Vercel/Hosting connected for deployment.</t>
  </si>
  <si>
    <t>AF-103</t>
  </si>
  <si>
    <t>Real-Time Inventory Search by SKU/Name</t>
  </si>
  <si>
    <t>As a Staff Member, I want to search items by SKU or Name so I can verify stock levels in real-time.</t>
  </si>
  <si>
    <t>Results return in &lt; 2 seconds; Search supports partial SKU matching; Filters by category.</t>
  </si>
  <si>
    <t>AF-104</t>
  </si>
  <si>
    <t>Stock Adjustment Audit Log</t>
  </si>
  <si>
    <t>As an Administrator, I want to see a log of all stock adjustments so that we have an operational record of changes.</t>
  </si>
  <si>
    <t>Log entries include User ID and Timestamp; Data is stored in a read-only format for non-admins.</t>
  </si>
  <si>
    <t xml:space="preserve">Nathan Nied </t>
  </si>
  <si>
    <t>AF-105</t>
  </si>
  <si>
    <t>Low-Stock Visual Alert</t>
  </si>
  <si>
    <t>As a Manager, I want a visual warning when stock is below 10 units so I know when to reorder goods.</t>
  </si>
  <si>
    <t>UI turns Alert Crimson (#D50000) for low stock; Alert triggers automatically upon quantity change.</t>
  </si>
  <si>
    <t>Daniel Rhoades</t>
  </si>
  <si>
    <t>AF-106</t>
  </si>
  <si>
    <t xml:space="preserve"> Add New Item to Inventory Catalog</t>
  </si>
  <si>
    <t>As a Staff Member, I want to add new items to the catalog so the inventory reflects current warehouse holdings.</t>
  </si>
  <si>
    <t>New SKUs saved to SQL database; Data validation ensures ISBN/SKU format is correct.</t>
  </si>
  <si>
    <t>Nathan Nied &amp; Garrett Lassalle</t>
  </si>
  <si>
    <t>Start date</t>
  </si>
  <si>
    <t>Total Team Members</t>
  </si>
  <si>
    <t>week 1</t>
  </si>
  <si>
    <t>week 2</t>
  </si>
  <si>
    <t>Task ID</t>
  </si>
  <si>
    <t>Story ID</t>
  </si>
  <si>
    <t>Initial estimate</t>
  </si>
  <si>
    <t>T101</t>
  </si>
  <si>
    <t>Create GitHub Repo &amp; Invite Team</t>
  </si>
  <si>
    <t>Daniel</t>
  </si>
  <si>
    <t>T102</t>
  </si>
  <si>
    <t>Design Encrypted SQL User Tables</t>
  </si>
  <si>
    <t xml:space="preserve">Nathan </t>
  </si>
  <si>
    <t>T103</t>
  </si>
  <si>
    <t>Code Login Screen UI (Aether Blue)</t>
  </si>
  <si>
    <t xml:space="preserve">Daniel </t>
  </si>
  <si>
    <t>T104</t>
  </si>
  <si>
    <t>Implement JWT/Password Hashing</t>
  </si>
  <si>
    <t>Nathan</t>
  </si>
  <si>
    <t>T105</t>
  </si>
  <si>
    <t>Map User Stories to Personas</t>
  </si>
  <si>
    <t xml:space="preserve">Jesus </t>
  </si>
  <si>
    <t>T106</t>
  </si>
  <si>
    <t>Draft Security Test Plan for login system</t>
  </si>
  <si>
    <t>Garrett</t>
  </si>
  <si>
    <t>T107</t>
  </si>
  <si>
    <t>Initialize Kanban/Sprint Board</t>
  </si>
  <si>
    <t>Alex</t>
  </si>
  <si>
    <t>T108</t>
  </si>
  <si>
    <t>Test invalid login handeling</t>
  </si>
  <si>
    <t>T109</t>
  </si>
  <si>
    <t>Verify password validation requirements</t>
  </si>
  <si>
    <t>T110</t>
  </si>
  <si>
    <t>Review ISBN/SKU validation requiremnts</t>
  </si>
  <si>
    <t>T111</t>
  </si>
  <si>
    <t>Test duplicate SKU rejection handeling</t>
  </si>
  <si>
    <t>T112</t>
  </si>
  <si>
    <t xml:space="preserve"> Verify role-based access permissions</t>
  </si>
  <si>
    <t>T113</t>
  </si>
  <si>
    <t>Document bugs and validation results</t>
  </si>
  <si>
    <t>Remaining units (actual)</t>
  </si>
  <si>
    <t>Remaining units (ideal)</t>
  </si>
  <si>
    <t>AF-201</t>
  </si>
  <si>
    <t>AF-100</t>
  </si>
  <si>
    <t>Restructure local React/Vite development layers to support absolute path mapping schemas (@/*) via vite.config.js and jsconfig.json. Configure framework settings to target and scale components within a WSL local environment.</t>
  </si>
  <si>
    <t>AF-202</t>
  </si>
  <si>
    <t>Resolve compilation block where Vite server bypassed global stylesheets. Install core CSS compilers, initialize configuration files via npx tailwindcss init -p, and optimize the content array to prevent infinite loops in background folders.</t>
  </si>
  <si>
    <t xml:space="preserve">       Daniel Rhoads</t>
  </si>
  <si>
    <t>AF-203</t>
  </si>
  <si>
    <t>Build out the visual user interface layer by linking global styling rules directly to the React application mount point (src/main.jsx). Enforce strict 8px layout border-radius guidelines (0.5rem). Map custom theme tokens.</t>
  </si>
  <si>
    <t>AF-204</t>
  </si>
  <si>
    <t>Implement input string handling logic on the primary dashboard interface. Integrate non-blocking frontend filtering routines that instantly parse structural descriptions and asset labels against live alphanumeric keystrokes.</t>
  </si>
  <si>
    <t>AF-205</t>
  </si>
  <si>
    <t>Develop custom conditional evaluation elements across dataset rows to isolate low-velocity inventory assets. Quantities sinking to or below 10 remaining units must dynamically override default layouts to trigger an active visual status flag.</t>
  </si>
  <si>
    <t>AF-206</t>
  </si>
  <si>
    <t>Resolve remote head mismatch block by executing Git rebasing structures. Fix code merge conflicts in the workspace authentication file tree manually, finalize local commits, and push them to launch an error-free production deploy via Vercel.</t>
  </si>
  <si>
    <t>AF-207</t>
  </si>
  <si>
    <t>Admin</t>
  </si>
  <si>
    <t>Contacted and followed up with the Student Advisor regarding the administrative grading incident and output verification.</t>
  </si>
  <si>
    <t>AF-208</t>
  </si>
  <si>
    <t>Git source tree maintenance, WSL directory configuration, and project file alignment.</t>
  </si>
  <si>
    <t>AF-209</t>
  </si>
  <si>
    <t>Weekly Group Scrum Meeting and coordination.</t>
  </si>
  <si>
    <t>AF-210</t>
  </si>
  <si>
    <t>Test invalid login and authentication edge cases</t>
  </si>
  <si>
    <t>AF-211</t>
  </si>
  <si>
    <t>Verify minimum password length enforcement</t>
  </si>
  <si>
    <t>AF-212</t>
  </si>
  <si>
    <t>Test script injection and invalid character handling</t>
  </si>
  <si>
    <t>AF-213</t>
  </si>
  <si>
    <t>Verify localhost integration testing environment</t>
  </si>
  <si>
    <t>AF-214</t>
  </si>
  <si>
    <t>Perform mobile viewport responsiveness testing</t>
  </si>
  <si>
    <t>AF-215</t>
  </si>
  <si>
    <t>Test user registration input validation</t>
  </si>
  <si>
    <t>AF-216</t>
  </si>
  <si>
    <t>Verify automated test timing/delays to avoid Vercel WAF blocking</t>
  </si>
  <si>
    <t>AF-217</t>
  </si>
  <si>
    <t>Test login and registration API input safety</t>
  </si>
  <si>
    <t>AF-218</t>
  </si>
  <si>
    <t>Review ISBN/SKU validation requirements</t>
  </si>
  <si>
    <t>AF-219</t>
  </si>
  <si>
    <t>Prepare inventory SKU/search validation test cases</t>
  </si>
  <si>
    <t>AF-220</t>
  </si>
  <si>
    <t>Document Sprint 2 QA validation results in /docs</t>
  </si>
  <si>
    <t>AF-221</t>
  </si>
  <si>
    <t>Design and implement encrypted SQL user table schema covering roles, users, auth tokens, inventory, suppliers, audit logs, and low stock alerts</t>
  </si>
  <si>
    <t>AF-222</t>
  </si>
  <si>
    <t>Build Express.js backend server with CORS configuration and REST API routing structure</t>
  </si>
  <si>
    <t>AF-223</t>
  </si>
  <si>
    <t>Implement bcrypt pasword hashing module with 12 salt rounds for secure credential storage</t>
  </si>
  <si>
    <t>AF-224</t>
  </si>
  <si>
    <t>Construct JWT access and refresh token generation and validation pipeline for session authentication</t>
  </si>
  <si>
    <t>AF-225</t>
  </si>
  <si>
    <t>Configure MySQL connection pool and establish live database link to Railway cloud instance</t>
  </si>
  <si>
    <t>AF-226</t>
  </si>
  <si>
    <t>Deploy backend server to Railway cloud platform and configure production environment variables</t>
  </si>
  <si>
    <t>AF-227</t>
  </si>
  <si>
    <t>Create team user accounts in production database with role-based access assignments</t>
  </si>
  <si>
    <t>AF-228</t>
  </si>
  <si>
    <t>Wire React login form to deployed Railway backend API endpoint replacing localhost reference</t>
  </si>
  <si>
    <t>AF-229</t>
  </si>
  <si>
    <t>Track Kanban board</t>
  </si>
  <si>
    <t>AF-230</t>
  </si>
  <si>
    <t>Track Team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</si>
</sst>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d\ dd/mm"/>
  </numFmts>
  <fonts count="19">
    <font>
      <sz val="10"/>
      <name val="Arial"/>
    </font>
    <font>
      <b/>
      <sz val="10"/>
      <name val="Arial"/>
      <family val="2"/>
    </font>
    <font>
      <b/>
      <i/>
      <sz val="10"/>
      <name val="Arial"/>
      <family val="2"/>
    </font>
    <font>
      <u/>
      <sz val="10"/>
      <color indexed="12"/>
      <name val="Arial"/>
      <family val="2"/>
    </font>
    <font>
      <sz val="10"/>
      <name val="Arial"/>
      <family val="2"/>
    </font>
    <font>
      <i/>
      <sz val="10"/>
      <name val="Arial"/>
      <family val="2"/>
    </font>
    <font>
      <sz val="14"/>
      <color indexed="9"/>
      <name val="Arial"/>
      <family val="2"/>
    </font>
    <font>
      <sz val="12"/>
      <name val="Times New Roman"/>
      <family val="1"/>
    </font>
    <font>
      <sz val="12"/>
      <color indexed="9"/>
      <name val="Times New Roman"/>
      <family val="1"/>
    </font>
    <font>
      <b/>
      <sz val="12"/>
      <name val="Times New Roman"/>
      <family val="1"/>
    </font>
    <font>
      <i/>
      <sz val="12"/>
      <name val="Times New Roman"/>
      <family val="1"/>
    </font>
    <font>
      <b/>
      <i/>
      <sz val="12"/>
      <name val="Times New Roman"/>
      <family val="1"/>
    </font>
    <font>
      <sz val="10"/>
      <name val="Calibri"/>
      <family val="2"/>
      <scheme val="minor"/>
    </font>
    <font>
      <b/>
      <i/>
      <sz val="10"/>
      <name val="Calibri"/>
      <family val="2"/>
      <scheme val="minor"/>
    </font>
    <font>
      <u/>
      <sz val="10"/>
      <color indexed="12"/>
      <name val="Calibri"/>
      <family val="2"/>
      <scheme val="minor"/>
    </font>
    <font>
      <b/>
      <sz val="10"/>
      <name val="Calibri"/>
      <family val="2"/>
      <scheme val="minor"/>
    </font>
    <font>
      <sz val="10"/>
      <color indexed="8"/>
      <name val="Calibri"/>
      <family val="2"/>
      <scheme val="minor"/>
    </font>
    <font>
      <sz val="14"/>
      <color indexed="9"/>
      <name val="Calibri"/>
      <family val="2"/>
      <scheme val="minor"/>
    </font>
    <font>
      <b/>
      <sz val="10"/>
      <name val="Arial"/>
    </font>
  </fonts>
  <fills count="7">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23"/>
        <bgColor indexed="64"/>
      </patternFill>
    </fill>
    <fill>
      <patternFill patternType="solid">
        <fgColor theme="1" tint="0.499984740745262"/>
        <bgColor indexed="64"/>
      </patternFill>
    </fill>
    <fill>
      <patternFill patternType="solid">
        <fgColor rgb="FFFFFFFF"/>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 fillId="0" borderId="0">
      <alignment vertical="top"/>
      <protection locked="0"/>
    </xf>
  </cellStyleXfs>
  <cellXfs count="107">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vertical="top" wrapText="1"/>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0" fillId="0" borderId="0" xfId="0" applyAlignment="1" applyProtection="1">
      <alignment horizontal="center" vertical="top"/>
      <protection hidden="1"/>
    </xf>
    <xf numFmtId="0" fontId="0" fillId="0" borderId="0" xfId="0" applyAlignment="1" applyProtection="1">
      <alignment vertical="top"/>
      <protection locked="0"/>
    </xf>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0" fillId="0" borderId="0" xfId="0" applyAlignment="1">
      <alignment horizontal="center" wrapText="1"/>
    </xf>
    <xf numFmtId="0" fontId="4" fillId="0" borderId="0" xfId="0" applyFont="1" applyAlignment="1">
      <alignment wrapText="1"/>
    </xf>
    <xf numFmtId="0" fontId="2" fillId="0" borderId="0" xfId="0" applyFont="1" applyAlignment="1">
      <alignment wrapText="1"/>
    </xf>
    <xf numFmtId="0" fontId="2" fillId="0" borderId="0" xfId="0" applyFont="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165" fontId="1" fillId="2" borderId="3" xfId="0" applyNumberFormat="1" applyFont="1" applyFill="1" applyBorder="1" applyAlignment="1">
      <alignment horizontal="center" vertical="top" wrapText="1"/>
    </xf>
    <xf numFmtId="0" fontId="0" fillId="3" borderId="1" xfId="0" applyFill="1" applyBorder="1" applyAlignment="1" applyProtection="1">
      <alignment horizontal="center" vertical="top"/>
      <protection locked="0"/>
    </xf>
    <xf numFmtId="14" fontId="0" fillId="3" borderId="1" xfId="0" applyNumberFormat="1" applyFill="1" applyBorder="1" applyAlignment="1" applyProtection="1">
      <alignment horizontal="center" vertical="top"/>
      <protection locked="0"/>
    </xf>
    <xf numFmtId="0" fontId="0" fillId="3" borderId="5" xfId="0" applyFill="1" applyBorder="1" applyAlignment="1" applyProtection="1">
      <alignment horizontal="center" vertical="top"/>
      <protection locked="0"/>
    </xf>
    <xf numFmtId="0" fontId="0" fillId="3" borderId="6" xfId="0" applyFill="1" applyBorder="1" applyAlignment="1" applyProtection="1">
      <alignment horizontal="center" vertical="top"/>
      <protection locked="0"/>
    </xf>
    <xf numFmtId="165" fontId="1" fillId="2" borderId="7" xfId="0" applyNumberFormat="1" applyFont="1" applyFill="1" applyBorder="1" applyAlignment="1">
      <alignment horizontal="center" vertical="top" wrapText="1"/>
    </xf>
    <xf numFmtId="0" fontId="4" fillId="3" borderId="9" xfId="0" applyFont="1" applyFill="1" applyBorder="1" applyAlignment="1" applyProtection="1">
      <alignment horizontal="center" vertical="top"/>
      <protection locked="0"/>
    </xf>
    <xf numFmtId="0" fontId="4" fillId="3" borderId="1" xfId="0" applyFont="1" applyFill="1" applyBorder="1" applyAlignment="1" applyProtection="1">
      <alignment horizontal="center" vertical="top"/>
      <protection locked="0"/>
    </xf>
    <xf numFmtId="0" fontId="4" fillId="3" borderId="1" xfId="0" applyFont="1" applyFill="1" applyBorder="1" applyAlignment="1" applyProtection="1">
      <alignment vertical="top" wrapText="1"/>
      <protection locked="0"/>
    </xf>
    <xf numFmtId="0" fontId="4" fillId="3" borderId="10" xfId="0" applyFont="1" applyFill="1" applyBorder="1" applyAlignment="1" applyProtection="1">
      <alignment horizontal="center" vertical="top"/>
      <protection locked="0"/>
    </xf>
    <xf numFmtId="0" fontId="4" fillId="0" borderId="0" xfId="0" applyFont="1" applyAlignment="1" applyProtection="1">
      <alignment vertical="top"/>
      <protection locked="0"/>
    </xf>
    <xf numFmtId="0" fontId="1" fillId="2" borderId="1" xfId="0" applyFont="1" applyFill="1" applyBorder="1" applyAlignment="1">
      <alignment horizontal="center"/>
    </xf>
    <xf numFmtId="0" fontId="12" fillId="0" borderId="0" xfId="0" applyFont="1" applyAlignment="1">
      <alignment horizontal="center" wrapText="1"/>
    </xf>
    <xf numFmtId="0" fontId="13" fillId="0" borderId="0" xfId="0" applyFont="1" applyAlignment="1">
      <alignment horizontal="center" vertical="top" wrapText="1"/>
    </xf>
    <xf numFmtId="0" fontId="12" fillId="0" borderId="0" xfId="0" applyFont="1" applyAlignment="1">
      <alignment wrapText="1"/>
    </xf>
    <xf numFmtId="0" fontId="13" fillId="0" borderId="0" xfId="0" applyFont="1" applyAlignment="1">
      <alignment wrapText="1"/>
    </xf>
    <xf numFmtId="0" fontId="14" fillId="0" borderId="0" xfId="1" applyFont="1" applyAlignment="1" applyProtection="1">
      <alignment wrapText="1"/>
    </xf>
    <xf numFmtId="0" fontId="12" fillId="0" borderId="0" xfId="0" applyFont="1" applyAlignment="1">
      <alignment horizontal="center" vertical="top" wrapText="1"/>
    </xf>
    <xf numFmtId="0" fontId="15" fillId="0" borderId="0" xfId="0" applyFont="1" applyAlignment="1">
      <alignment wrapText="1"/>
    </xf>
    <xf numFmtId="0" fontId="12" fillId="3" borderId="0" xfId="0" applyFont="1" applyFill="1" applyAlignment="1">
      <alignment wrapText="1"/>
    </xf>
    <xf numFmtId="0" fontId="16" fillId="0" borderId="0" xfId="0" applyFont="1"/>
    <xf numFmtId="0" fontId="7" fillId="0" borderId="0" xfId="0" applyFont="1"/>
    <xf numFmtId="0" fontId="7" fillId="0" borderId="0" xfId="0" applyFont="1" applyAlignment="1">
      <alignment horizontal="center"/>
    </xf>
    <xf numFmtId="0" fontId="11" fillId="0" borderId="0" xfId="0" applyFont="1" applyAlignment="1">
      <alignment vertical="center"/>
    </xf>
    <xf numFmtId="0" fontId="11" fillId="5" borderId="14" xfId="0" applyFont="1" applyFill="1" applyBorder="1" applyAlignment="1">
      <alignment horizontal="center" vertical="center"/>
    </xf>
    <xf numFmtId="0" fontId="11" fillId="5" borderId="13" xfId="0" applyFont="1" applyFill="1" applyBorder="1" applyAlignment="1">
      <alignment horizontal="center" vertical="center"/>
    </xf>
    <xf numFmtId="0" fontId="9" fillId="2" borderId="1" xfId="0" applyFont="1" applyFill="1" applyBorder="1" applyAlignment="1">
      <alignment horizontal="center" vertical="center"/>
    </xf>
    <xf numFmtId="0" fontId="10" fillId="3" borderId="11" xfId="0" applyFont="1" applyFill="1" applyBorder="1" applyAlignment="1">
      <alignment horizontal="center" vertical="center"/>
    </xf>
    <xf numFmtId="0" fontId="1" fillId="2" borderId="11" xfId="0" applyFont="1" applyFill="1" applyBorder="1" applyAlignment="1">
      <alignment horizontal="center"/>
    </xf>
    <xf numFmtId="0" fontId="1" fillId="2" borderId="16" xfId="0" applyFont="1" applyFill="1" applyBorder="1" applyAlignment="1">
      <alignment vertical="top" wrapText="1"/>
    </xf>
    <xf numFmtId="0" fontId="4" fillId="3" borderId="11" xfId="0" applyFont="1" applyFill="1" applyBorder="1" applyAlignment="1" applyProtection="1">
      <alignment vertical="top" wrapText="1"/>
      <protection locked="0"/>
    </xf>
    <xf numFmtId="0" fontId="1" fillId="2" borderId="5" xfId="0" applyFont="1" applyFill="1" applyBorder="1" applyAlignment="1">
      <alignment vertical="top" wrapText="1"/>
    </xf>
    <xf numFmtId="0" fontId="1" fillId="2" borderId="13" xfId="0" applyFont="1" applyFill="1" applyBorder="1" applyAlignment="1">
      <alignment vertical="top" wrapText="1"/>
    </xf>
    <xf numFmtId="0" fontId="1" fillId="2" borderId="17" xfId="0" applyFont="1" applyFill="1" applyBorder="1" applyAlignment="1">
      <alignment horizontal="center" vertical="top"/>
    </xf>
    <xf numFmtId="0" fontId="1" fillId="2" borderId="18" xfId="0" applyFont="1" applyFill="1" applyBorder="1" applyAlignment="1">
      <alignment horizontal="center" vertical="top"/>
    </xf>
    <xf numFmtId="0" fontId="4" fillId="3" borderId="21" xfId="0" applyFont="1" applyFill="1" applyBorder="1" applyAlignment="1" applyProtection="1">
      <alignment horizontal="center" vertical="top"/>
      <protection locked="0"/>
    </xf>
    <xf numFmtId="0" fontId="10" fillId="0" borderId="11" xfId="0" applyFont="1" applyBorder="1" applyAlignment="1">
      <alignment horizontal="center" vertical="center"/>
    </xf>
    <xf numFmtId="0" fontId="10" fillId="3" borderId="11" xfId="0" applyFont="1" applyFill="1" applyBorder="1" applyAlignment="1">
      <alignment horizontal="left" vertical="center" wrapText="1"/>
    </xf>
    <xf numFmtId="0" fontId="0" fillId="0" borderId="0" xfId="0" applyAlignment="1">
      <alignment horizontal="center" vertical="top" wrapText="1"/>
    </xf>
    <xf numFmtId="0" fontId="0" fillId="0" borderId="0" xfId="0" applyAlignment="1">
      <alignment horizontal="left" vertical="top" wrapText="1"/>
    </xf>
    <xf numFmtId="0" fontId="4" fillId="3" borderId="5" xfId="0" applyFont="1" applyFill="1" applyBorder="1" applyAlignment="1" applyProtection="1">
      <alignment vertical="top" wrapText="1"/>
      <protection locked="0"/>
    </xf>
    <xf numFmtId="0" fontId="4" fillId="3" borderId="6" xfId="0" applyFont="1" applyFill="1" applyBorder="1" applyAlignment="1" applyProtection="1">
      <alignment vertical="top" wrapText="1"/>
      <protection locked="0"/>
    </xf>
    <xf numFmtId="0" fontId="4" fillId="3" borderId="15" xfId="0" applyFont="1" applyFill="1" applyBorder="1" applyAlignment="1" applyProtection="1">
      <alignment vertical="top" wrapText="1"/>
      <protection locked="0"/>
    </xf>
    <xf numFmtId="0" fontId="4" fillId="3" borderId="8" xfId="0" applyFont="1" applyFill="1" applyBorder="1" applyAlignment="1" applyProtection="1">
      <alignment horizontal="center" vertical="top"/>
      <protection locked="0"/>
    </xf>
    <xf numFmtId="0" fontId="4" fillId="3" borderId="22" xfId="0" applyFont="1" applyFill="1" applyBorder="1" applyAlignment="1" applyProtection="1">
      <alignment horizontal="center" vertical="top"/>
      <protection locked="0"/>
    </xf>
    <xf numFmtId="0" fontId="4" fillId="0" borderId="0" xfId="0" applyFont="1" applyAlignment="1">
      <alignment horizontal="left" vertical="top" wrapText="1"/>
    </xf>
    <xf numFmtId="0" fontId="4" fillId="0" borderId="0" xfId="0" applyFont="1" applyAlignment="1">
      <alignment horizontal="center" vertical="top" wrapText="1"/>
    </xf>
    <xf numFmtId="0" fontId="10" fillId="3" borderId="15" xfId="0" applyFont="1" applyFill="1" applyBorder="1" applyAlignment="1">
      <alignment horizontal="center" vertical="center"/>
    </xf>
    <xf numFmtId="0" fontId="4" fillId="3" borderId="6" xfId="0" applyFont="1" applyFill="1" applyBorder="1" applyAlignment="1" applyProtection="1">
      <alignment horizontal="center" vertical="top"/>
      <protection locked="0"/>
    </xf>
    <xf numFmtId="0" fontId="18" fillId="2" borderId="2" xfId="0" applyFont="1" applyFill="1" applyBorder="1" applyAlignment="1">
      <alignment horizontal="center" vertical="top" wrapText="1"/>
    </xf>
    <xf numFmtId="0" fontId="18" fillId="2" borderId="3" xfId="0" applyFont="1" applyFill="1" applyBorder="1" applyAlignment="1">
      <alignment horizontal="center" vertical="top" wrapText="1"/>
    </xf>
    <xf numFmtId="0" fontId="18" fillId="2" borderId="3" xfId="0" applyFont="1" applyFill="1" applyBorder="1" applyAlignment="1">
      <alignment vertical="top" wrapText="1"/>
    </xf>
    <xf numFmtId="0" fontId="18" fillId="2" borderId="16" xfId="0" applyFont="1" applyFill="1" applyBorder="1" applyAlignment="1">
      <alignment vertical="top" wrapText="1"/>
    </xf>
    <xf numFmtId="0" fontId="18" fillId="2" borderId="4" xfId="0" applyFont="1" applyFill="1" applyBorder="1" applyAlignment="1">
      <alignment horizontal="center" vertical="top" wrapText="1"/>
    </xf>
    <xf numFmtId="165" fontId="18" fillId="2" borderId="7" xfId="0" applyNumberFormat="1" applyFont="1" applyFill="1" applyBorder="1" applyAlignment="1">
      <alignment horizontal="center" vertical="top" wrapText="1"/>
    </xf>
    <xf numFmtId="165" fontId="18" fillId="2" borderId="3" xfId="0" applyNumberFormat="1" applyFont="1" applyFill="1" applyBorder="1" applyAlignment="1">
      <alignment horizontal="center" vertical="top" wrapText="1"/>
    </xf>
    <xf numFmtId="0" fontId="4" fillId="3" borderId="1" xfId="0" applyFont="1" applyFill="1" applyBorder="1" applyAlignment="1" applyProtection="1">
      <alignment horizontal="center" vertical="top" wrapText="1"/>
      <protection locked="0"/>
    </xf>
    <xf numFmtId="0" fontId="4" fillId="3" borderId="11" xfId="0" applyFont="1" applyFill="1" applyBorder="1" applyAlignment="1" applyProtection="1">
      <alignment horizontal="center" vertical="top" wrapText="1"/>
      <protection locked="0"/>
    </xf>
    <xf numFmtId="0" fontId="4" fillId="3" borderId="5" xfId="0" applyFont="1" applyFill="1" applyBorder="1" applyAlignment="1" applyProtection="1">
      <alignment horizontal="center" vertical="top" wrapText="1"/>
      <protection locked="0"/>
    </xf>
    <xf numFmtId="0" fontId="4" fillId="3" borderId="15" xfId="0" applyFont="1" applyFill="1" applyBorder="1" applyAlignment="1" applyProtection="1">
      <alignment horizontal="center" vertical="top" wrapText="1"/>
      <protection locked="0"/>
    </xf>
    <xf numFmtId="0" fontId="4" fillId="3" borderId="6" xfId="0" applyFont="1" applyFill="1" applyBorder="1" applyAlignment="1" applyProtection="1">
      <alignment horizontal="center" vertical="top" wrapText="1"/>
      <protection locked="0"/>
    </xf>
    <xf numFmtId="0" fontId="0" fillId="6" borderId="0" xfId="0" applyFill="1"/>
    <xf numFmtId="0" fontId="0" fillId="6" borderId="0" xfId="0" applyFill="1"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0" fillId="0" borderId="0" xfId="0" applyAlignment="1">
      <alignment horizontal="center" wrapText="1"/>
    </xf>
    <xf numFmtId="0" fontId="7" fillId="0" borderId="0" xfId="0" applyFont="1"/>
    <xf numFmtId="0" fontId="7" fillId="0" borderId="0" xfId="0" applyFont="1" applyAlignment="1">
      <alignment horizontal="center"/>
    </xf>
    <xf numFmtId="0" fontId="6" fillId="4" borderId="0" xfId="0" applyFont="1" applyFill="1" applyAlignment="1">
      <alignment horizontal="center" vertical="center"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1" fillId="0" borderId="1" xfId="0" applyFont="1" applyBorder="1" applyAlignment="1">
      <alignment horizontal="center" vertical="center"/>
    </xf>
    <xf numFmtId="0" fontId="1" fillId="2" borderId="23" xfId="0" applyFont="1" applyFill="1" applyBorder="1" applyAlignment="1">
      <alignment horizontal="center" vertical="top"/>
    </xf>
    <xf numFmtId="0" fontId="5" fillId="3" borderId="1" xfId="0" applyFont="1" applyFill="1" applyBorder="1" applyAlignment="1">
      <alignment horizontal="center"/>
    </xf>
    <xf numFmtId="0" fontId="17" fillId="4" borderId="0" xfId="0" applyFont="1" applyFill="1" applyAlignment="1">
      <alignment horizontal="center" vertical="center" wrapText="1"/>
    </xf>
    <xf numFmtId="0" fontId="0" fillId="0" borderId="0" xfId="0" applyAlignment="1">
      <alignment horizontal="center" wrapText="1"/>
    </xf>
    <xf numFmtId="0" fontId="8" fillId="4" borderId="0" xfId="0" applyFont="1" applyFill="1" applyAlignment="1">
      <alignment horizontal="center" vertical="center" wrapText="1"/>
    </xf>
    <xf numFmtId="0" fontId="7" fillId="0" borderId="0" xfId="0" applyFont="1" applyAlignment="1">
      <alignment horizontal="center"/>
    </xf>
    <xf numFmtId="0" fontId="7" fillId="0" borderId="0" xfId="0" applyFont="1" applyAlignment="1"/>
    <xf numFmtId="0" fontId="0" fillId="0" borderId="12" xfId="0" applyBorder="1" applyAlignment="1"/>
    <xf numFmtId="0" fontId="0" fillId="0" borderId="10" xfId="0" applyBorder="1" applyAlignment="1"/>
    <xf numFmtId="0" fontId="0" fillId="0" borderId="19" xfId="0" applyBorder="1" applyAlignment="1"/>
    <xf numFmtId="0" fontId="0" fillId="0" borderId="20" xfId="0" applyBorder="1" applyAlignment="1"/>
    <xf numFmtId="0" fontId="0" fillId="0" borderId="13" xfId="0" applyBorder="1" applyAlignment="1"/>
  </cellXfs>
  <cellStyles count="2">
    <cellStyle name="Hyperlink" xfId="1" builtinId="8"/>
    <cellStyle name="Normal" xfId="0" builtinId="0"/>
  </cellStyles>
  <dxfs count="13">
    <dxf>
      <font>
        <condense val="0"/>
        <extend val="0"/>
        <color indexed="10"/>
      </font>
    </dxf>
    <dxf>
      <font>
        <condense val="0"/>
        <extend val="0"/>
        <color indexed="57"/>
      </font>
    </dxf>
    <dxf>
      <font>
        <i/>
        <sz val="12"/>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rder>
    </dxf>
    <dxf>
      <font>
        <i/>
        <strike val="0"/>
        <condense val="0"/>
        <extend val="0"/>
        <outline val="0"/>
        <shadow val="0"/>
        <vertAlign val="baseline"/>
        <sz val="12"/>
        <color auto="1"/>
        <name val="Times New Roman"/>
      </font>
      <fill>
        <patternFill patternType="solid">
          <fgColor indexed="64"/>
          <bgColor indexed="41"/>
        </patternFill>
      </fill>
      <alignment horizontal="center" vertical="center"/>
    </dxf>
    <dxf>
      <font>
        <b/>
        <i/>
        <strike val="0"/>
        <condense val="0"/>
        <extend val="0"/>
        <outline val="0"/>
        <shadow val="0"/>
        <vertAlign val="baseline"/>
        <sz val="12"/>
        <color auto="1"/>
        <name val="Times New Roman"/>
      </font>
      <fill>
        <patternFill patternType="solid">
          <fgColor indexed="64"/>
          <bgColor theme="1" tint="0.499984740745262"/>
        </patternFill>
      </fill>
      <alignment horizontal="center" vertical="center"/>
      <border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i="0" strike="noStrike" baseline="0">
                <a:solidFill>
                  <a:srgbClr val="000000"/>
                </a:solidFill>
                <a:latin typeface="Arial"/>
                <a:ea typeface="Arial"/>
                <a:cs typeface="Arial"/>
              </a:defRPr>
            </a:pPr>
            <a:r>
              <a:rPr lang="en-US"/>
              <a:t>Burndown Chart </a:t>
            </a:r>
          </a:p>
        </c:rich>
      </c:tx>
      <c:layout>
        <c:manualLayout>
          <c:xMode val="edge"/>
          <c:yMode val="edge"/>
          <c:x val="0.40353269043616741"/>
          <c:y val="4.2895471399408407E-2"/>
        </c:manualLayout>
      </c:layout>
      <c:overlay val="0"/>
      <c:spPr>
        <a:noFill/>
        <a:ln w="25400">
          <a:noFill/>
          <a:prstDash val="solid"/>
        </a:ln>
      </c:spPr>
    </c:title>
    <c:autoTitleDeleted val="0"/>
    <c:plotArea>
      <c:layout>
        <c:manualLayout>
          <c:layoutTarget val="inner"/>
          <c:xMode val="edge"/>
          <c:yMode val="edge"/>
          <c:x val="0.10375104659638951"/>
          <c:y val="0.1863308454521361"/>
          <c:w val="0.88043536671206712"/>
          <c:h val="0.66219925828279247"/>
        </c:manualLayout>
      </c:layout>
      <c:lineChart>
        <c:grouping val="standard"/>
        <c:varyColors val="0"/>
        <c:ser>
          <c:idx val="0"/>
          <c:order val="0"/>
          <c:spPr>
            <a:ln w="12700">
              <a:solidFill>
                <a:srgbClr val="000090"/>
              </a:solidFill>
              <a:prstDash val="solid"/>
            </a:ln>
          </c:spPr>
          <c:marker>
            <c:symbol val="diamond"/>
            <c:size val="5"/>
            <c:spPr>
              <a:solidFill>
                <a:srgbClr val="000090"/>
              </a:solidFill>
              <a:ln>
                <a:solidFill>
                  <a:srgbClr val="000090"/>
                </a:solidFill>
                <a:prstDash val="solid"/>
              </a:ln>
            </c:spPr>
          </c:marker>
          <c:dLbls>
            <c:spPr>
              <a:noFill/>
              <a:ln w="25400">
                <a:noFill/>
                <a:prstDash val="solid"/>
              </a:ln>
            </c:spPr>
            <c:txPr>
              <a:bodyPr wrap="square" lIns="38100" tIns="19050" rIns="38100" bIns="19050" anchor="ctr">
                <a:spAutoFit/>
              </a:bodyPr>
              <a:lstStyle/>
              <a:p>
                <a:pPr>
                  <a:defRPr sz="1125" b="0" i="0"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'Sprint 1'!$F$20:$S$20</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1"/>
          <c:extLst>
            <c:ext xmlns:c16="http://schemas.microsoft.com/office/drawing/2014/chart" uri="{C3380CC4-5D6E-409C-BE32-E72D297353CC}">
              <c16:uniqueId val="{00000000-20CD-4158-AAF8-7582AE86E82E}"/>
            </c:ext>
          </c:extLst>
        </c:ser>
        <c:ser>
          <c:idx val="1"/>
          <c:order val="1"/>
          <c:spPr>
            <a:ln w="12700">
              <a:solidFill>
                <a:srgbClr val="F20884"/>
              </a:solidFill>
              <a:prstDash val="solid"/>
            </a:ln>
          </c:spPr>
          <c:marker>
            <c:symbol val="square"/>
            <c:size val="5"/>
            <c:spPr>
              <a:solidFill>
                <a:srgbClr val="F20884"/>
              </a:solidFill>
              <a:ln>
                <a:solidFill>
                  <a:srgbClr val="F20884"/>
                </a:solidFill>
                <a:prstDash val="solid"/>
              </a:ln>
            </c:spPr>
          </c:marker>
          <c:val>
            <c:numRef>
              <c:f>'Sprint 1'!$F$21:$S$21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1"/>
          <c:extLst>
            <c:ext xmlns:c16="http://schemas.microsoft.com/office/drawing/2014/chart" uri="{C3380CC4-5D6E-409C-BE32-E72D297353CC}">
              <c16:uniqueId val="{00000001-20CD-4158-AAF8-7582AE86E82E}"/>
            </c:ext>
          </c:extLst>
        </c:ser>
        <c:dLbls>
          <c:showLegendKey val="0"/>
          <c:showVal val="0"/>
          <c:showCatName val="0"/>
          <c:showSerName val="0"/>
          <c:showPercent val="0"/>
          <c:showBubbleSize val="0"/>
        </c:dLbls>
        <c:marker val="1"/>
        <c:smooth val="0"/>
        <c:axId val="228933120"/>
        <c:axId val="646860736"/>
      </c:lineChart>
      <c:catAx>
        <c:axId val="228933120"/>
        <c:scaling>
          <c:orientation val="minMax"/>
        </c:scaling>
        <c:delete val="0"/>
        <c:axPos val="b"/>
        <c:title>
          <c:tx>
            <c:rich>
              <a:bodyPr/>
              <a:lstStyle/>
              <a:p>
                <a:pPr>
                  <a:defRPr sz="1125" b="1" i="0" strike="noStrike" baseline="0">
                    <a:solidFill>
                      <a:srgbClr val="000000"/>
                    </a:solidFill>
                    <a:latin typeface="Arial"/>
                    <a:ea typeface="Arial"/>
                    <a:cs typeface="Arial"/>
                  </a:defRPr>
                </a:pPr>
                <a:r>
                  <a:rPr lang="en-US"/>
                  <a:t>Days</a:t>
                </a:r>
              </a:p>
            </c:rich>
          </c:tx>
          <c:layout>
            <c:manualLayout>
              <c:xMode val="edge"/>
              <c:yMode val="edge"/>
              <c:x val="0.51358724822318558"/>
              <c:y val="0.91421016817342282"/>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646860736"/>
        <c:crosses val="autoZero"/>
        <c:auto val="0"/>
        <c:lblAlgn val="ctr"/>
        <c:lblOffset val="100"/>
        <c:tickLblSkip val="1"/>
        <c:tickMarkSkip val="1"/>
        <c:noMultiLvlLbl val="0"/>
      </c:catAx>
      <c:valAx>
        <c:axId val="646860736"/>
        <c:scaling>
          <c:orientation val="minMax"/>
        </c:scaling>
        <c:delete val="0"/>
        <c:axPos val="l"/>
        <c:title>
          <c:tx>
            <c:rich>
              <a:bodyPr/>
              <a:lstStyle/>
              <a:p>
                <a:pPr>
                  <a:defRPr sz="1125" b="1" i="0" strike="noStrike" baseline="0">
                    <a:solidFill>
                      <a:srgbClr val="000000"/>
                    </a:solidFill>
                    <a:latin typeface="Arial"/>
                    <a:ea typeface="Arial"/>
                    <a:cs typeface="Arial"/>
                  </a:defRPr>
                </a:pPr>
                <a:r>
                  <a:rPr lang="en-US"/>
                  <a:t>Remaining Scrum units</a:t>
                </a:r>
              </a:p>
            </c:rich>
          </c:tx>
          <c:layout>
            <c:manualLayout>
              <c:xMode val="edge"/>
              <c:yMode val="edge"/>
              <c:x val="2.4456486478516028E-2"/>
              <c:y val="0.28150175672485378"/>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228933120"/>
        <c:crosses val="autoZero"/>
        <c:crossBetween val="between"/>
      </c:valAx>
    </c:plotArea>
    <c:legend>
      <c:legendPos val="r"/>
      <c:layout>
        <c:manualLayout>
          <c:xMode val="edge"/>
          <c:yMode val="edge"/>
          <c:x val="0.80380527525950052"/>
          <c:y val="0.30481273174186557"/>
          <c:w val="0.13580642307352031"/>
          <c:h val="0.17067033287505731"/>
        </c:manualLayout>
      </c:layout>
      <c:overlay val="0"/>
      <c:spPr>
        <a:solidFill>
          <a:srgbClr val="FFFFFF"/>
        </a:solidFill>
        <a:ln w="3175">
          <a:solidFill>
            <a:srgbClr val="000000"/>
          </a:solidFill>
          <a:prstDash val="solid"/>
        </a:ln>
      </c:spPr>
      <c:txPr>
        <a:bodyPr/>
        <a:lstStyle/>
        <a:p>
          <a:pPr>
            <a:defRPr sz="1035" b="0" i="0" strike="noStrike" baseline="0">
              <a:solidFill>
                <a:srgbClr val="000000"/>
              </a:solidFill>
              <a:latin typeface="Arial"/>
              <a:ea typeface="Arial"/>
              <a:cs typeface="Arial"/>
            </a:defRPr>
          </a:pPr>
          <a:endParaRPr lang="en-US"/>
        </a:p>
      </c:txPr>
    </c:legend>
    <c:plotVisOnly val="1"/>
    <c:dispBlanksAs val="gap"/>
    <c:showDLblsOverMax val="1"/>
  </c:chart>
  <c:spPr>
    <a:solidFill>
      <a:srgbClr val="FFFFFF"/>
    </a:solidFill>
    <a:ln w="3175">
      <a:solidFill>
        <a:srgbClr val="000000"/>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i="0" strike="noStrike" baseline="0">
                <a:solidFill>
                  <a:srgbClr val="000000"/>
                </a:solidFill>
                <a:latin typeface="Arial"/>
                <a:ea typeface="Arial"/>
                <a:cs typeface="Arial"/>
              </a:defRPr>
            </a:pPr>
            <a:r>
              <a:rPr lang="en-US"/>
              <a:t>Burndown Chart </a:t>
            </a:r>
          </a:p>
        </c:rich>
      </c:tx>
      <c:layout>
        <c:manualLayout>
          <c:xMode val="edge"/>
          <c:yMode val="edge"/>
          <c:x val="0.40353269043616741"/>
          <c:y val="4.2895471399408407E-2"/>
        </c:manualLayout>
      </c:layout>
      <c:overlay val="0"/>
      <c:spPr>
        <a:noFill/>
        <a:ln w="25400">
          <a:noFill/>
          <a:prstDash val="solid"/>
        </a:ln>
      </c:spPr>
    </c:title>
    <c:autoTitleDeleted val="0"/>
    <c:plotArea>
      <c:layout>
        <c:manualLayout>
          <c:layoutTarget val="inner"/>
          <c:xMode val="edge"/>
          <c:yMode val="edge"/>
          <c:x val="0.10375100372727381"/>
          <c:y val="0.168958412284026"/>
          <c:w val="0.88043536671206712"/>
          <c:h val="0.66219925828279247"/>
        </c:manualLayout>
      </c:layout>
      <c:lineChart>
        <c:grouping val="standard"/>
        <c:varyColors val="0"/>
        <c:ser>
          <c:idx val="0"/>
          <c:order val="0"/>
          <c:spPr>
            <a:ln w="12700">
              <a:solidFill>
                <a:srgbClr val="000090"/>
              </a:solidFill>
              <a:prstDash val="solid"/>
            </a:ln>
          </c:spPr>
          <c:marker>
            <c:symbol val="diamond"/>
            <c:size val="5"/>
            <c:spPr>
              <a:solidFill>
                <a:srgbClr val="000090"/>
              </a:solidFill>
              <a:ln>
                <a:solidFill>
                  <a:srgbClr val="000090"/>
                </a:solidFill>
                <a:prstDash val="solid"/>
              </a:ln>
            </c:spPr>
          </c:marker>
          <c:dLbls>
            <c:spPr>
              <a:noFill/>
              <a:ln w="25400">
                <a:noFill/>
                <a:prstDash val="solid"/>
              </a:ln>
            </c:spPr>
            <c:txPr>
              <a:bodyPr wrap="square" lIns="38100" tIns="19050" rIns="38100" bIns="19050" anchor="ctr">
                <a:spAutoFit/>
              </a:bodyPr>
              <a:lstStyle/>
              <a:p>
                <a:pPr>
                  <a:defRPr sz="1125" b="0" i="0"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'Sprint 2'!$F$20:$S$20</c:f>
              <c:numCache>
                <c:formatCode>General</c:formatCode>
                <c:ptCount val="14"/>
                <c:pt idx="0">
                  <c:v>0.25</c:v>
                </c:pt>
                <c:pt idx="1">
                  <c:v>0</c:v>
                </c:pt>
                <c:pt idx="2">
                  <c:v>0.25</c:v>
                </c:pt>
                <c:pt idx="3">
                  <c:v>0</c:v>
                </c:pt>
                <c:pt idx="4">
                  <c:v>0.5</c:v>
                </c:pt>
                <c:pt idx="5">
                  <c:v>0.25</c:v>
                </c:pt>
              </c:numCache>
            </c:numRef>
          </c:val>
          <c:smooth val="1"/>
          <c:extLst>
            <c:ext xmlns:c16="http://schemas.microsoft.com/office/drawing/2014/chart" uri="{C3380CC4-5D6E-409C-BE32-E72D297353CC}">
              <c16:uniqueId val="{00000000-896B-449E-8206-D8B0FD9BD26F}"/>
            </c:ext>
          </c:extLst>
        </c:ser>
        <c:ser>
          <c:idx val="1"/>
          <c:order val="1"/>
          <c:spPr>
            <a:ln w="12700">
              <a:solidFill>
                <a:srgbClr val="F20884"/>
              </a:solidFill>
              <a:prstDash val="solid"/>
            </a:ln>
          </c:spPr>
          <c:marker>
            <c:symbol val="square"/>
            <c:size val="5"/>
            <c:spPr>
              <a:solidFill>
                <a:srgbClr val="F20884"/>
              </a:solidFill>
              <a:ln>
                <a:solidFill>
                  <a:srgbClr val="F20884"/>
                </a:solidFill>
                <a:prstDash val="solid"/>
              </a:ln>
            </c:spPr>
          </c:marker>
          <c:val>
            <c:numRef>
              <c:f>'Sprint 2'!$F$21:$S$21</c:f>
              <c:numCache>
                <c:formatCode>General</c:formatCode>
                <c:ptCount val="14"/>
                <c:pt idx="0">
                  <c:v>0.25</c:v>
                </c:pt>
                <c:pt idx="1">
                  <c:v>0</c:v>
                </c:pt>
                <c:pt idx="2">
                  <c:v>0.25</c:v>
                </c:pt>
                <c:pt idx="3">
                  <c:v>0</c:v>
                </c:pt>
                <c:pt idx="4">
                  <c:v>0.5</c:v>
                </c:pt>
                <c:pt idx="5">
                  <c:v>0.25</c:v>
                </c:pt>
              </c:numCache>
            </c:numRef>
          </c:val>
          <c:smooth val="1"/>
          <c:extLst>
            <c:ext xmlns:c16="http://schemas.microsoft.com/office/drawing/2014/chart" uri="{C3380CC4-5D6E-409C-BE32-E72D297353CC}">
              <c16:uniqueId val="{00000001-896B-449E-8206-D8B0FD9BD26F}"/>
            </c:ext>
          </c:extLst>
        </c:ser>
        <c:dLbls>
          <c:showLegendKey val="0"/>
          <c:showVal val="0"/>
          <c:showCatName val="0"/>
          <c:showSerName val="0"/>
          <c:showPercent val="0"/>
          <c:showBubbleSize val="0"/>
        </c:dLbls>
        <c:marker val="1"/>
        <c:smooth val="0"/>
        <c:axId val="228933120"/>
        <c:axId val="646860736"/>
      </c:lineChart>
      <c:catAx>
        <c:axId val="228933120"/>
        <c:scaling>
          <c:orientation val="minMax"/>
        </c:scaling>
        <c:delete val="0"/>
        <c:axPos val="b"/>
        <c:title>
          <c:tx>
            <c:rich>
              <a:bodyPr/>
              <a:lstStyle/>
              <a:p>
                <a:pPr>
                  <a:defRPr sz="1125" b="1" i="0" strike="noStrike" baseline="0">
                    <a:solidFill>
                      <a:srgbClr val="000000"/>
                    </a:solidFill>
                    <a:latin typeface="Arial"/>
                    <a:ea typeface="Arial"/>
                    <a:cs typeface="Arial"/>
                  </a:defRPr>
                </a:pPr>
                <a:r>
                  <a:rPr lang="en-US"/>
                  <a:t>Days</a:t>
                </a:r>
              </a:p>
            </c:rich>
          </c:tx>
          <c:layout>
            <c:manualLayout>
              <c:xMode val="edge"/>
              <c:yMode val="edge"/>
              <c:x val="0.51358724822318558"/>
              <c:y val="0.91421016817342282"/>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646860736"/>
        <c:crosses val="autoZero"/>
        <c:auto val="0"/>
        <c:lblAlgn val="ctr"/>
        <c:lblOffset val="100"/>
        <c:tickLblSkip val="1"/>
        <c:tickMarkSkip val="1"/>
        <c:noMultiLvlLbl val="0"/>
      </c:catAx>
      <c:valAx>
        <c:axId val="646860736"/>
        <c:scaling>
          <c:orientation val="minMax"/>
        </c:scaling>
        <c:delete val="0"/>
        <c:axPos val="l"/>
        <c:title>
          <c:tx>
            <c:rich>
              <a:bodyPr/>
              <a:lstStyle/>
              <a:p>
                <a:pPr>
                  <a:defRPr sz="1125" b="1" i="0" strike="noStrike" baseline="0">
                    <a:solidFill>
                      <a:srgbClr val="000000"/>
                    </a:solidFill>
                    <a:latin typeface="Arial"/>
                    <a:ea typeface="Arial"/>
                    <a:cs typeface="Arial"/>
                  </a:defRPr>
                </a:pPr>
                <a:r>
                  <a:rPr lang="en-US"/>
                  <a:t>Remaining Scrum units</a:t>
                </a:r>
              </a:p>
            </c:rich>
          </c:tx>
          <c:layout>
            <c:manualLayout>
              <c:xMode val="edge"/>
              <c:yMode val="edge"/>
              <c:x val="2.4456486478516028E-2"/>
              <c:y val="0.28150175672485378"/>
            </c:manualLayout>
          </c:layout>
          <c:overlay val="0"/>
          <c:spPr>
            <a:noFill/>
            <a:ln w="25400">
              <a:noFill/>
              <a:prstDash val="solid"/>
            </a:ln>
          </c:spPr>
        </c:title>
        <c:numFmt formatCode="General" sourceLinked="1"/>
        <c:majorTickMark val="out"/>
        <c:minorTickMark val="none"/>
        <c:tickLblPos val="nextTo"/>
        <c:spPr>
          <a:ln w="3175">
            <a:solidFill>
              <a:srgbClr val="000000"/>
            </a:solidFill>
            <a:prstDash val="solid"/>
          </a:ln>
        </c:spPr>
        <c:txPr>
          <a:bodyPr rot="0" vert="horz"/>
          <a:lstStyle/>
          <a:p>
            <a:pPr>
              <a:defRPr sz="1125" b="0" i="0" strike="noStrike" baseline="0">
                <a:solidFill>
                  <a:srgbClr val="000000"/>
                </a:solidFill>
                <a:latin typeface="Arial"/>
                <a:ea typeface="Arial"/>
                <a:cs typeface="Arial"/>
              </a:defRPr>
            </a:pPr>
            <a:endParaRPr lang="en-US"/>
          </a:p>
        </c:txPr>
        <c:crossAx val="228933120"/>
        <c:crosses val="autoZero"/>
        <c:crossBetween val="between"/>
      </c:valAx>
    </c:plotArea>
    <c:legend>
      <c:legendPos val="r"/>
      <c:layout>
        <c:manualLayout>
          <c:xMode val="edge"/>
          <c:yMode val="edge"/>
          <c:x val="0.80380527525950052"/>
          <c:y val="0.30481273174186557"/>
          <c:w val="0.13580642307352031"/>
          <c:h val="0.17067033287505731"/>
        </c:manualLayout>
      </c:layout>
      <c:overlay val="0"/>
      <c:spPr>
        <a:solidFill>
          <a:srgbClr val="FFFFFF"/>
        </a:solidFill>
        <a:ln w="3175">
          <a:solidFill>
            <a:srgbClr val="000000"/>
          </a:solidFill>
          <a:prstDash val="solid"/>
        </a:ln>
      </c:spPr>
      <c:txPr>
        <a:bodyPr/>
        <a:lstStyle/>
        <a:p>
          <a:pPr>
            <a:defRPr sz="1035" b="0" i="0" strike="noStrike" baseline="0">
              <a:solidFill>
                <a:srgbClr val="000000"/>
              </a:solidFill>
              <a:latin typeface="Arial"/>
              <a:ea typeface="Arial"/>
              <a:cs typeface="Arial"/>
            </a:defRPr>
          </a:pPr>
          <a:endParaRPr lang="en-US"/>
        </a:p>
      </c:txPr>
    </c:legend>
    <c:plotVisOnly val="1"/>
    <c:dispBlanksAs val="gap"/>
    <c:showDLblsOverMax val="1"/>
  </c:chart>
  <c:spPr>
    <a:solidFill>
      <a:srgbClr val="FFFFFF"/>
    </a:solidFill>
    <a:ln w="3175">
      <a:solidFill>
        <a:srgbClr val="000000"/>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18</xdr:row>
      <xdr:rowOff>95250</xdr:rowOff>
    </xdr:from>
    <xdr:to>
      <xdr:col>1</xdr:col>
      <xdr:colOff>895350</xdr:colOff>
      <xdr:row>20</xdr:row>
      <xdr:rowOff>66675</xdr:rowOff>
    </xdr:to>
    <xdr:pic>
      <xdr:nvPicPr>
        <xdr:cNvPr id="2126" name="Picture 2">
          <a:hlinkClick xmlns:r="http://schemas.openxmlformats.org/officeDocument/2006/relationships" r:id=""/>
          <a:extLst>
            <a:ext uri="{FF2B5EF4-FFF2-40B4-BE49-F238E27FC236}">
              <a16:creationId xmlns:a16="http://schemas.microsoft.com/office/drawing/2014/main" id="{00000000-0008-0000-0000-00004E0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14600" y="3514725"/>
          <a:ext cx="828675" cy="295275"/>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857250</xdr:colOff>
      <xdr:row>26</xdr:row>
      <xdr:rowOff>28574</xdr:rowOff>
    </xdr:from>
    <xdr:to>
      <xdr:col>17</xdr:col>
      <xdr:colOff>685800</xdr:colOff>
      <xdr:row>44</xdr:row>
      <xdr:rowOff>38099</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400050</xdr:colOff>
      <xdr:row>55</xdr:row>
      <xdr:rowOff>66674</xdr:rowOff>
    </xdr:from>
    <xdr:to>
      <xdr:col>17</xdr:col>
      <xdr:colOff>0</xdr:colOff>
      <xdr:row>76</xdr:row>
      <xdr:rowOff>133349</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0:G21" totalsRowShown="0" headerRowDxfId="12" dataDxfId="11" headerRowBorderDxfId="9" tableBorderDxfId="10">
  <autoFilter ref="A10:G21" xr:uid="{00000000-0009-0000-0100-000001000000}"/>
  <sortState xmlns:xlrd2="http://schemas.microsoft.com/office/spreadsheetml/2017/richdata2" ref="A11:F20">
    <sortCondition ref="F10:F20"/>
  </sortState>
  <tableColumns count="7">
    <tableColumn id="1" xr3:uid="{00000000-0010-0000-0000-000001000000}" name=" Story ID" dataDxfId="8"/>
    <tableColumn id="2" xr3:uid="{00000000-0010-0000-0000-000002000000}" name="Title" dataDxfId="7"/>
    <tableColumn id="3" xr3:uid="{00000000-0010-0000-0000-000003000000}" name="Description" dataDxfId="6"/>
    <tableColumn id="4" xr3:uid="{00000000-0010-0000-0000-000004000000}" name="Acceptance Criteria" dataDxfId="5"/>
    <tableColumn id="5" xr3:uid="{00000000-0010-0000-0000-000005000000}" name="Priority #" dataDxfId="4"/>
    <tableColumn id="6" xr3:uid="{00000000-0010-0000-0000-000006000000}" name="Sprint #" dataDxfId="3"/>
    <tableColumn id="7" xr3:uid="{00000000-0010-0000-0000-000007000000}" name="Responsibility"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D35"/>
  <sheetViews>
    <sheetView topLeftCell="A3" workbookViewId="0">
      <selection activeCell="A2" sqref="A2:B2"/>
    </sheetView>
  </sheetViews>
  <sheetFormatPr defaultColWidth="11.42578125" defaultRowHeight="12.75"/>
  <cols>
    <col min="1" max="1" width="36.7109375" style="16" customWidth="1"/>
    <col min="2" max="2" width="114.85546875" style="1" customWidth="1"/>
    <col min="3" max="7" width="11.42578125" style="1" customWidth="1"/>
    <col min="8" max="16384" width="11.42578125" style="1"/>
  </cols>
  <sheetData>
    <row r="2" spans="1:4" s="13" customFormat="1" ht="39.75" customHeight="1">
      <c r="A2" s="97" t="s">
        <v>0</v>
      </c>
      <c r="B2" s="98"/>
      <c r="C2" s="33"/>
      <c r="D2" s="33"/>
    </row>
    <row r="3" spans="1:4">
      <c r="A3" s="34"/>
      <c r="B3" s="33"/>
      <c r="C3" s="35"/>
      <c r="D3" s="35"/>
    </row>
    <row r="4" spans="1:4" s="15" customFormat="1">
      <c r="A4" s="34"/>
      <c r="B4" s="36"/>
      <c r="C4" s="36"/>
      <c r="D4" s="36"/>
    </row>
    <row r="5" spans="1:4" s="15" customFormat="1">
      <c r="A5" s="34"/>
      <c r="B5" s="36"/>
      <c r="C5" s="36"/>
      <c r="D5" s="36"/>
    </row>
    <row r="6" spans="1:4" s="14" customFormat="1">
      <c r="A6" s="34" t="s">
        <v>1</v>
      </c>
      <c r="B6" s="35" t="s">
        <v>2</v>
      </c>
      <c r="C6" s="35"/>
      <c r="D6" s="35"/>
    </row>
    <row r="7" spans="1:4" s="15" customFormat="1">
      <c r="A7" s="34"/>
      <c r="B7" s="36"/>
      <c r="C7" s="36"/>
      <c r="D7" s="36"/>
    </row>
    <row r="8" spans="1:4" s="15" customFormat="1">
      <c r="A8" s="34"/>
      <c r="B8" s="37"/>
      <c r="C8" s="36"/>
      <c r="D8" s="36"/>
    </row>
    <row r="9" spans="1:4" s="14" customFormat="1">
      <c r="A9" s="38"/>
      <c r="B9" s="37"/>
      <c r="C9" s="35"/>
      <c r="D9" s="35"/>
    </row>
    <row r="10" spans="1:4" s="15" customFormat="1">
      <c r="A10" s="34"/>
      <c r="B10" s="36"/>
      <c r="C10" s="36"/>
      <c r="D10" s="36"/>
    </row>
    <row r="11" spans="1:4" s="14" customFormat="1">
      <c r="A11" s="34" t="s">
        <v>3</v>
      </c>
      <c r="B11" s="39" t="s">
        <v>4</v>
      </c>
      <c r="C11" s="35"/>
      <c r="D11" s="35"/>
    </row>
    <row r="12" spans="1:4">
      <c r="A12" s="34"/>
      <c r="B12" s="39" t="s">
        <v>5</v>
      </c>
      <c r="C12" s="35"/>
      <c r="D12" s="35"/>
    </row>
    <row r="13" spans="1:4">
      <c r="A13" s="34"/>
      <c r="B13" s="39"/>
      <c r="C13" s="35"/>
      <c r="D13" s="35"/>
    </row>
    <row r="14" spans="1:4">
      <c r="A14" s="34"/>
      <c r="B14" s="35"/>
      <c r="C14" s="35"/>
      <c r="D14" s="35"/>
    </row>
    <row r="15" spans="1:4">
      <c r="A15" s="34" t="s">
        <v>6</v>
      </c>
      <c r="B15" s="40" t="s">
        <v>7</v>
      </c>
      <c r="C15" s="35"/>
      <c r="D15" s="35"/>
    </row>
    <row r="16" spans="1:4">
      <c r="A16" s="34"/>
      <c r="B16" s="35" t="s">
        <v>8</v>
      </c>
      <c r="C16" s="35"/>
      <c r="D16" s="35"/>
    </row>
    <row r="17" spans="1:4" s="14" customFormat="1">
      <c r="A17" s="34"/>
      <c r="B17" s="35"/>
      <c r="C17" s="35"/>
      <c r="D17" s="35"/>
    </row>
    <row r="18" spans="1:4" s="15" customFormat="1">
      <c r="A18" s="34" t="s">
        <v>9</v>
      </c>
      <c r="B18" s="41" t="s">
        <v>10</v>
      </c>
      <c r="C18" s="36"/>
      <c r="D18" s="36"/>
    </row>
    <row r="19" spans="1:4">
      <c r="A19" s="34"/>
      <c r="B19" s="35"/>
      <c r="C19" s="35"/>
      <c r="D19" s="35"/>
    </row>
    <row r="20" spans="1:4">
      <c r="A20" s="34"/>
      <c r="B20" s="35"/>
      <c r="C20" s="35"/>
      <c r="D20" s="35"/>
    </row>
    <row r="21" spans="1:4">
      <c r="A21" s="34"/>
      <c r="B21" s="35"/>
      <c r="C21" s="35"/>
      <c r="D21" s="35"/>
    </row>
    <row r="22" spans="1:4">
      <c r="A22" s="34"/>
      <c r="B22" s="35"/>
      <c r="C22" s="35"/>
      <c r="D22" s="35"/>
    </row>
    <row r="23" spans="1:4">
      <c r="A23" s="34" t="s">
        <v>11</v>
      </c>
      <c r="B23" s="35" t="s">
        <v>12</v>
      </c>
      <c r="C23" s="35"/>
      <c r="D23" s="35"/>
    </row>
    <row r="24" spans="1:4">
      <c r="A24" s="34"/>
      <c r="B24" s="37"/>
      <c r="C24" s="35"/>
      <c r="D24" s="35"/>
    </row>
    <row r="31" spans="1:4">
      <c r="A31" s="1"/>
    </row>
    <row r="32" spans="1:4">
      <c r="A32" s="1"/>
    </row>
    <row r="33" spans="1:1">
      <c r="A33" s="1"/>
    </row>
    <row r="34" spans="1:1">
      <c r="A34" s="1"/>
    </row>
    <row r="35" spans="1:1">
      <c r="A35" s="1"/>
    </row>
  </sheetData>
  <mergeCells count="1">
    <mergeCell ref="A2:B2"/>
  </mergeCell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EC24"/>
  <sheetViews>
    <sheetView zoomScaleNormal="100" workbookViewId="0">
      <selection activeCell="C6" sqref="C6"/>
    </sheetView>
  </sheetViews>
  <sheetFormatPr defaultColWidth="11.42578125" defaultRowHeight="15.75"/>
  <cols>
    <col min="1" max="1" width="36.85546875" style="43" customWidth="1"/>
    <col min="2" max="2" width="35.140625" style="42" customWidth="1"/>
    <col min="3" max="3" width="103.140625" style="42" bestFit="1" customWidth="1"/>
    <col min="4" max="4" width="74.85546875" style="42" bestFit="1" customWidth="1"/>
    <col min="5" max="5" width="15.5703125" style="43" bestFit="1" customWidth="1"/>
    <col min="6" max="6" width="11.85546875" style="42" bestFit="1" customWidth="1"/>
    <col min="7" max="7" width="20.5703125" style="42" customWidth="1"/>
    <col min="8" max="138" width="11.42578125" style="42" customWidth="1"/>
    <col min="139" max="16384" width="11.42578125" style="42"/>
  </cols>
  <sheetData>
    <row r="2" spans="1:133">
      <c r="A2" s="99" t="s">
        <v>0</v>
      </c>
      <c r="B2" s="101"/>
      <c r="C2" s="101"/>
      <c r="D2" s="101"/>
      <c r="E2" s="100"/>
      <c r="F2" s="101"/>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c r="CM2" s="88"/>
      <c r="CN2" s="88"/>
      <c r="CO2" s="88"/>
      <c r="CP2" s="88"/>
      <c r="CQ2" s="88"/>
      <c r="CR2" s="88"/>
      <c r="CS2" s="88"/>
      <c r="CT2" s="88"/>
      <c r="CU2" s="88"/>
      <c r="CV2" s="88"/>
      <c r="CW2" s="88"/>
      <c r="CX2" s="88"/>
      <c r="CY2" s="88"/>
      <c r="CZ2" s="88"/>
      <c r="DA2" s="88"/>
      <c r="DB2" s="88"/>
      <c r="DC2" s="88"/>
      <c r="DD2" s="88"/>
      <c r="DE2" s="88"/>
      <c r="DF2" s="88"/>
      <c r="DG2" s="88"/>
      <c r="DH2" s="88"/>
      <c r="DI2" s="88"/>
      <c r="DJ2" s="88"/>
      <c r="DK2" s="88"/>
      <c r="DL2" s="88"/>
      <c r="DM2" s="88"/>
      <c r="DN2" s="88"/>
      <c r="DO2" s="88"/>
      <c r="DP2" s="88"/>
      <c r="DQ2" s="88"/>
      <c r="DR2" s="88"/>
      <c r="DS2" s="88"/>
      <c r="DT2" s="88"/>
      <c r="DU2" s="88"/>
      <c r="DV2" s="88"/>
      <c r="DW2" s="88"/>
      <c r="DX2" s="88"/>
      <c r="DY2" s="88"/>
      <c r="DZ2" s="88"/>
      <c r="EA2" s="88"/>
      <c r="EB2" s="88"/>
      <c r="EC2" s="88"/>
    </row>
    <row r="3" spans="1:133">
      <c r="A3" s="89"/>
      <c r="B3" s="88"/>
      <c r="C3" s="88"/>
      <c r="D3" s="89"/>
      <c r="E3" s="89"/>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row>
    <row r="4" spans="1:133">
      <c r="A4" s="89"/>
      <c r="B4" s="47" t="s">
        <v>13</v>
      </c>
      <c r="C4" s="58" t="s">
        <v>14</v>
      </c>
      <c r="D4" s="89"/>
      <c r="E4" s="89"/>
      <c r="F4" s="88"/>
      <c r="G4" s="88"/>
      <c r="H4" s="88"/>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c r="BB4" s="88"/>
      <c r="BC4" s="88"/>
      <c r="BD4" s="88"/>
      <c r="BE4" s="88"/>
      <c r="BF4" s="88"/>
      <c r="BG4" s="88"/>
      <c r="BH4" s="88"/>
      <c r="BI4" s="88"/>
      <c r="BJ4" s="88"/>
      <c r="BK4" s="88"/>
      <c r="BL4" s="88"/>
      <c r="BM4" s="88"/>
      <c r="BN4" s="88"/>
      <c r="BO4" s="88"/>
      <c r="BP4" s="88"/>
      <c r="BQ4" s="88"/>
      <c r="BR4" s="88"/>
      <c r="BS4" s="88"/>
      <c r="BT4" s="88"/>
      <c r="BU4" s="88"/>
      <c r="BV4" s="88"/>
      <c r="BW4" s="88"/>
      <c r="BX4" s="88"/>
      <c r="BY4" s="88"/>
      <c r="BZ4" s="88"/>
      <c r="CA4" s="88"/>
      <c r="CB4" s="88"/>
      <c r="CC4" s="88"/>
      <c r="CD4" s="88"/>
      <c r="CE4" s="88"/>
      <c r="CF4" s="88"/>
      <c r="CG4" s="88"/>
      <c r="CH4" s="88"/>
      <c r="CI4" s="88"/>
      <c r="CJ4" s="88"/>
      <c r="CK4" s="88"/>
      <c r="CL4" s="88"/>
      <c r="CM4" s="88"/>
      <c r="CN4" s="88"/>
      <c r="CO4" s="88"/>
      <c r="CP4" s="88"/>
      <c r="CQ4" s="88"/>
      <c r="CR4" s="88"/>
      <c r="CS4" s="88"/>
      <c r="CT4" s="88"/>
      <c r="CU4" s="88"/>
      <c r="CV4" s="88"/>
      <c r="CW4" s="88"/>
      <c r="CX4" s="88"/>
      <c r="CY4" s="88"/>
      <c r="CZ4" s="88"/>
      <c r="DA4" s="88"/>
      <c r="DB4" s="88"/>
      <c r="DC4" s="88"/>
      <c r="DD4" s="88"/>
      <c r="DE4" s="88"/>
      <c r="DF4" s="88"/>
      <c r="DG4" s="88"/>
      <c r="DH4" s="88"/>
      <c r="DI4" s="88"/>
      <c r="DJ4" s="88"/>
      <c r="DK4" s="88"/>
      <c r="DL4" s="88"/>
      <c r="DM4" s="88"/>
      <c r="DN4" s="88"/>
      <c r="DO4" s="88"/>
      <c r="DP4" s="88"/>
      <c r="DQ4" s="88"/>
      <c r="DR4" s="88"/>
      <c r="DS4" s="88"/>
      <c r="DT4" s="88"/>
      <c r="DU4" s="88"/>
      <c r="DV4" s="88"/>
      <c r="DW4" s="88"/>
      <c r="DX4" s="88"/>
      <c r="DY4" s="88"/>
      <c r="DZ4" s="88"/>
      <c r="EA4" s="88"/>
      <c r="EB4" s="88"/>
      <c r="EC4" s="88"/>
    </row>
    <row r="5" spans="1:133">
      <c r="A5" s="89"/>
      <c r="B5" s="47" t="s">
        <v>15</v>
      </c>
      <c r="C5" s="58" t="s">
        <v>16</v>
      </c>
      <c r="D5" s="89"/>
      <c r="E5" s="89"/>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88"/>
      <c r="BL5" s="88"/>
      <c r="BM5" s="88"/>
      <c r="BN5" s="88"/>
      <c r="BO5" s="88"/>
      <c r="BP5" s="88"/>
      <c r="BQ5" s="88"/>
      <c r="BR5" s="88"/>
      <c r="BS5" s="88"/>
      <c r="BT5" s="88"/>
      <c r="BU5" s="88"/>
      <c r="BV5" s="88"/>
      <c r="BW5" s="88"/>
      <c r="BX5" s="88"/>
      <c r="BY5" s="88"/>
      <c r="BZ5" s="88"/>
      <c r="CA5" s="88"/>
      <c r="CB5" s="88"/>
      <c r="CC5" s="88"/>
      <c r="CD5" s="88"/>
      <c r="CE5" s="88"/>
      <c r="CF5" s="88"/>
      <c r="CG5" s="88"/>
      <c r="CH5" s="88"/>
      <c r="CI5" s="88"/>
      <c r="CJ5" s="88"/>
      <c r="CK5" s="88"/>
      <c r="CL5" s="88"/>
      <c r="CM5" s="88"/>
      <c r="CN5" s="88"/>
      <c r="CO5" s="88"/>
      <c r="CP5" s="88"/>
      <c r="CQ5" s="88"/>
      <c r="CR5" s="88"/>
      <c r="CS5" s="88"/>
      <c r="CT5" s="88"/>
      <c r="CU5" s="88"/>
      <c r="CV5" s="88"/>
      <c r="CW5" s="88"/>
      <c r="CX5" s="88"/>
      <c r="CY5" s="88"/>
      <c r="CZ5" s="88"/>
      <c r="DA5" s="88"/>
      <c r="DB5" s="88"/>
      <c r="DC5" s="88"/>
      <c r="DD5" s="88"/>
      <c r="DE5" s="88"/>
      <c r="DF5" s="88"/>
      <c r="DG5" s="88"/>
      <c r="DH5" s="88"/>
      <c r="DI5" s="88"/>
      <c r="DJ5" s="88"/>
      <c r="DK5" s="88"/>
      <c r="DL5" s="88"/>
      <c r="DM5" s="88"/>
      <c r="DN5" s="88"/>
      <c r="DO5" s="88"/>
      <c r="DP5" s="88"/>
      <c r="DQ5" s="88"/>
      <c r="DR5" s="88"/>
      <c r="DS5" s="88"/>
      <c r="DT5" s="88"/>
      <c r="DU5" s="88"/>
      <c r="DV5" s="88"/>
      <c r="DW5" s="88"/>
      <c r="DX5" s="88"/>
      <c r="DY5" s="88"/>
      <c r="DZ5" s="88"/>
      <c r="EA5" s="88"/>
      <c r="EB5" s="88"/>
      <c r="EC5" s="88"/>
    </row>
    <row r="6" spans="1:133">
      <c r="A6" s="89"/>
      <c r="B6" s="47" t="s">
        <v>17</v>
      </c>
      <c r="C6" s="58" t="s">
        <v>18</v>
      </c>
      <c r="D6" s="89"/>
      <c r="E6" s="89"/>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c r="AZ6" s="88"/>
      <c r="BA6" s="88"/>
      <c r="BB6" s="88"/>
      <c r="BC6" s="88"/>
      <c r="BD6" s="88"/>
      <c r="BE6" s="88"/>
      <c r="BF6" s="88"/>
      <c r="BG6" s="88"/>
      <c r="BH6" s="88"/>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88"/>
      <c r="CS6" s="88"/>
      <c r="CT6" s="88"/>
      <c r="CU6" s="88"/>
      <c r="CV6" s="88"/>
      <c r="CW6" s="88"/>
      <c r="CX6" s="88"/>
      <c r="CY6" s="88"/>
      <c r="CZ6" s="88"/>
      <c r="DA6" s="88"/>
      <c r="DB6" s="88"/>
      <c r="DC6" s="88"/>
      <c r="DD6" s="88"/>
      <c r="DE6" s="88"/>
      <c r="DF6" s="88"/>
      <c r="DG6" s="88"/>
      <c r="DH6" s="88"/>
      <c r="DI6" s="88"/>
      <c r="DJ6" s="88"/>
      <c r="DK6" s="88"/>
      <c r="DL6" s="88"/>
      <c r="DM6" s="88"/>
      <c r="DN6" s="88"/>
      <c r="DO6" s="88"/>
      <c r="DP6" s="88"/>
      <c r="DQ6" s="88"/>
      <c r="DR6" s="88"/>
      <c r="DS6" s="88"/>
      <c r="DT6" s="88"/>
      <c r="DU6" s="88"/>
      <c r="DV6" s="88"/>
      <c r="DW6" s="88"/>
      <c r="DX6" s="88"/>
      <c r="DY6" s="88"/>
      <c r="DZ6" s="88"/>
      <c r="EA6" s="88"/>
      <c r="EB6" s="88"/>
      <c r="EC6" s="88"/>
    </row>
    <row r="7" spans="1:133">
      <c r="A7" s="89"/>
      <c r="B7" s="47" t="s">
        <v>19</v>
      </c>
      <c r="C7" s="58" t="s">
        <v>20</v>
      </c>
      <c r="D7" s="89"/>
      <c r="E7" s="89"/>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8"/>
      <c r="BB7" s="88"/>
      <c r="BC7" s="88"/>
      <c r="BD7" s="88"/>
      <c r="BE7" s="88"/>
      <c r="BF7" s="88"/>
      <c r="BG7" s="88"/>
      <c r="BH7" s="88"/>
      <c r="BI7" s="88"/>
      <c r="BJ7" s="88"/>
      <c r="BK7" s="88"/>
      <c r="BL7" s="88"/>
      <c r="BM7" s="88"/>
      <c r="BN7" s="88"/>
      <c r="BO7" s="88"/>
      <c r="BP7" s="88"/>
      <c r="BQ7" s="88"/>
      <c r="BR7" s="88"/>
      <c r="BS7" s="88"/>
      <c r="BT7" s="88"/>
      <c r="BU7" s="88"/>
      <c r="BV7" s="88"/>
      <c r="BW7" s="88"/>
      <c r="BX7" s="88"/>
      <c r="BY7" s="88"/>
      <c r="BZ7" s="88"/>
      <c r="CA7" s="88"/>
      <c r="CB7" s="88"/>
      <c r="CC7" s="88"/>
      <c r="CD7" s="88"/>
      <c r="CE7" s="88"/>
      <c r="CF7" s="88"/>
      <c r="CG7" s="88"/>
      <c r="CH7" s="88"/>
      <c r="CI7" s="88"/>
      <c r="CJ7" s="88"/>
      <c r="CK7" s="88"/>
      <c r="CL7" s="88"/>
      <c r="CM7" s="88"/>
      <c r="CN7" s="88"/>
      <c r="CO7" s="88"/>
      <c r="CP7" s="88"/>
      <c r="CQ7" s="88"/>
      <c r="CR7" s="88"/>
      <c r="CS7" s="88"/>
      <c r="CT7" s="88"/>
      <c r="CU7" s="88"/>
      <c r="CV7" s="88"/>
      <c r="CW7" s="88"/>
      <c r="CX7" s="88"/>
      <c r="CY7" s="88"/>
      <c r="CZ7" s="88"/>
      <c r="DA7" s="88"/>
      <c r="DB7" s="88"/>
      <c r="DC7" s="88"/>
      <c r="DD7" s="88"/>
      <c r="DE7" s="88"/>
      <c r="DF7" s="88"/>
      <c r="DG7" s="88"/>
      <c r="DH7" s="88"/>
      <c r="DI7" s="88"/>
      <c r="DJ7" s="88"/>
      <c r="DK7" s="88"/>
      <c r="DL7" s="88"/>
      <c r="DM7" s="88"/>
      <c r="DN7" s="88"/>
      <c r="DO7" s="88"/>
      <c r="DP7" s="88"/>
      <c r="DQ7" s="88"/>
      <c r="DR7" s="88"/>
      <c r="DS7" s="88"/>
      <c r="DT7" s="88"/>
      <c r="DU7" s="88"/>
      <c r="DV7" s="88"/>
      <c r="DW7" s="88"/>
      <c r="DX7" s="88"/>
      <c r="DY7" s="88"/>
      <c r="DZ7" s="88"/>
      <c r="EA7" s="88"/>
      <c r="EB7" s="88"/>
      <c r="EC7" s="88"/>
    </row>
    <row r="8" spans="1:133">
      <c r="A8" s="89"/>
      <c r="B8" s="47" t="s">
        <v>21</v>
      </c>
      <c r="C8" s="58" t="s">
        <v>22</v>
      </c>
      <c r="D8" s="89"/>
      <c r="E8" s="89"/>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c r="BO8" s="88"/>
      <c r="BP8" s="88"/>
      <c r="BQ8" s="88"/>
      <c r="BR8" s="88"/>
      <c r="BS8" s="88"/>
      <c r="BT8" s="88"/>
      <c r="BU8" s="88"/>
      <c r="BV8" s="88"/>
      <c r="BW8" s="88"/>
      <c r="BX8" s="88"/>
      <c r="BY8" s="88"/>
      <c r="BZ8" s="88"/>
      <c r="CA8" s="88"/>
      <c r="CB8" s="88"/>
      <c r="CC8" s="88"/>
      <c r="CD8" s="88"/>
      <c r="CE8" s="88"/>
      <c r="CF8" s="88"/>
      <c r="CG8" s="88"/>
      <c r="CH8" s="88"/>
      <c r="CI8" s="88"/>
      <c r="CJ8" s="88"/>
      <c r="CK8" s="88"/>
      <c r="CL8" s="88"/>
      <c r="CM8" s="88"/>
      <c r="CN8" s="88"/>
      <c r="CO8" s="88"/>
      <c r="CP8" s="88"/>
      <c r="CQ8" s="88"/>
      <c r="CR8" s="88"/>
      <c r="CS8" s="88"/>
      <c r="CT8" s="88"/>
      <c r="CU8" s="88"/>
      <c r="CV8" s="88"/>
      <c r="CW8" s="88"/>
      <c r="CX8" s="88"/>
      <c r="CY8" s="88"/>
      <c r="CZ8" s="88"/>
      <c r="DA8" s="88"/>
      <c r="DB8" s="88"/>
      <c r="DC8" s="88"/>
      <c r="DD8" s="88"/>
      <c r="DE8" s="88"/>
      <c r="DF8" s="88"/>
      <c r="DG8" s="88"/>
      <c r="DH8" s="88"/>
      <c r="DI8" s="88"/>
      <c r="DJ8" s="88"/>
      <c r="DK8" s="88"/>
      <c r="DL8" s="88"/>
      <c r="DM8" s="88"/>
      <c r="DN8" s="88"/>
      <c r="DO8" s="88"/>
      <c r="DP8" s="88"/>
      <c r="DQ8" s="88"/>
      <c r="DR8" s="88"/>
      <c r="DS8" s="88"/>
      <c r="DT8" s="88"/>
      <c r="DU8" s="88"/>
      <c r="DV8" s="88"/>
      <c r="DW8" s="88"/>
      <c r="DX8" s="88"/>
      <c r="DY8" s="88"/>
      <c r="DZ8" s="88"/>
      <c r="EA8" s="88"/>
      <c r="EB8" s="88"/>
      <c r="EC8" s="88"/>
    </row>
    <row r="9" spans="1:133">
      <c r="A9" s="89"/>
      <c r="B9" s="47" t="s">
        <v>23</v>
      </c>
      <c r="C9" s="58" t="s">
        <v>24</v>
      </c>
      <c r="D9" s="89"/>
      <c r="E9" s="89"/>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s="88"/>
      <c r="BN9" s="88"/>
      <c r="BO9" s="88"/>
      <c r="BP9" s="88"/>
      <c r="BQ9" s="88"/>
      <c r="BR9" s="88"/>
      <c r="BS9" s="88"/>
      <c r="BT9" s="88"/>
      <c r="BU9" s="88"/>
      <c r="BV9" s="88"/>
      <c r="BW9" s="88"/>
      <c r="BX9" s="88"/>
      <c r="BY9" s="88"/>
      <c r="BZ9" s="88"/>
      <c r="CA9" s="88"/>
      <c r="CB9" s="88"/>
      <c r="CC9" s="88"/>
      <c r="CD9" s="88"/>
      <c r="CE9" s="88"/>
      <c r="CF9" s="88"/>
      <c r="CG9" s="88"/>
      <c r="CH9" s="88"/>
      <c r="CI9" s="88"/>
      <c r="CJ9" s="88"/>
      <c r="CK9" s="88"/>
      <c r="CL9" s="88"/>
      <c r="CM9" s="88"/>
      <c r="CN9" s="88"/>
      <c r="CO9" s="88"/>
      <c r="CP9" s="88"/>
      <c r="CQ9" s="88"/>
      <c r="CR9" s="88"/>
      <c r="CS9" s="88"/>
      <c r="CT9" s="88"/>
      <c r="CU9" s="88"/>
      <c r="CV9" s="88"/>
      <c r="CW9" s="88"/>
      <c r="CX9" s="88"/>
      <c r="CY9" s="88"/>
      <c r="CZ9" s="88"/>
      <c r="DA9" s="88"/>
      <c r="DB9" s="88"/>
      <c r="DC9" s="88"/>
      <c r="DD9" s="88"/>
      <c r="DE9" s="88"/>
      <c r="DF9" s="88"/>
      <c r="DG9" s="88"/>
      <c r="DH9" s="88"/>
      <c r="DI9" s="88"/>
      <c r="DJ9" s="88"/>
      <c r="DK9" s="88"/>
      <c r="DL9" s="88"/>
      <c r="DM9" s="88"/>
      <c r="DN9" s="88"/>
      <c r="DO9" s="88"/>
      <c r="DP9" s="88"/>
      <c r="DQ9" s="88"/>
      <c r="DR9" s="88"/>
      <c r="DS9" s="88"/>
      <c r="DT9" s="88"/>
      <c r="DU9" s="88"/>
      <c r="DV9" s="88"/>
      <c r="DW9" s="88"/>
      <c r="DX9" s="88"/>
      <c r="DY9" s="88"/>
      <c r="DZ9" s="88"/>
      <c r="EA9" s="88"/>
      <c r="EB9" s="88"/>
      <c r="EC9" s="88"/>
    </row>
    <row r="10" spans="1:133" s="44" customFormat="1">
      <c r="A10" s="45" t="s">
        <v>25</v>
      </c>
      <c r="B10" s="46" t="s">
        <v>26</v>
      </c>
      <c r="C10" s="46" t="s">
        <v>27</v>
      </c>
      <c r="D10" s="46" t="s">
        <v>28</v>
      </c>
      <c r="E10" s="46" t="s">
        <v>29</v>
      </c>
      <c r="F10" s="46" t="s">
        <v>30</v>
      </c>
      <c r="G10" s="46" t="s">
        <v>31</v>
      </c>
    </row>
    <row r="11" spans="1:133" s="48" customFormat="1" ht="54" customHeight="1">
      <c r="A11" s="67" t="s">
        <v>32</v>
      </c>
      <c r="B11" s="60" t="s">
        <v>33</v>
      </c>
      <c r="C11" s="60" t="s">
        <v>34</v>
      </c>
      <c r="D11" s="60" t="s">
        <v>35</v>
      </c>
      <c r="E11" s="59">
        <v>1</v>
      </c>
      <c r="F11" s="59">
        <v>1</v>
      </c>
      <c r="G11" s="66" t="s">
        <v>22</v>
      </c>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row>
    <row r="12" spans="1:133" s="48" customFormat="1" ht="54" customHeight="1">
      <c r="A12" s="59" t="s">
        <v>36</v>
      </c>
      <c r="B12" s="60" t="s">
        <v>37</v>
      </c>
      <c r="C12" s="60" t="s">
        <v>38</v>
      </c>
      <c r="D12" s="60" t="s">
        <v>39</v>
      </c>
      <c r="E12" s="59">
        <v>1</v>
      </c>
      <c r="F12" s="59">
        <v>1</v>
      </c>
      <c r="G12" s="66" t="s">
        <v>20</v>
      </c>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row>
    <row r="13" spans="1:133" s="48" customFormat="1" ht="54" customHeight="1">
      <c r="A13" s="59" t="s">
        <v>40</v>
      </c>
      <c r="B13" s="60" t="s">
        <v>41</v>
      </c>
      <c r="C13" s="60" t="s">
        <v>42</v>
      </c>
      <c r="D13" s="60" t="s">
        <v>43</v>
      </c>
      <c r="E13" s="59">
        <v>2</v>
      </c>
      <c r="F13" s="59">
        <v>1</v>
      </c>
      <c r="G13" s="66" t="s">
        <v>22</v>
      </c>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row>
    <row r="14" spans="1:133" s="48" customFormat="1" ht="54" customHeight="1">
      <c r="A14" s="59" t="s">
        <v>44</v>
      </c>
      <c r="B14" s="60" t="s">
        <v>45</v>
      </c>
      <c r="C14" s="60" t="s">
        <v>46</v>
      </c>
      <c r="D14" s="66" t="s">
        <v>47</v>
      </c>
      <c r="E14" s="59">
        <v>2</v>
      </c>
      <c r="F14" s="59">
        <v>1</v>
      </c>
      <c r="G14" s="66" t="s">
        <v>48</v>
      </c>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row>
    <row r="15" spans="1:133" s="48" customFormat="1" ht="54" customHeight="1">
      <c r="A15" s="67" t="s">
        <v>49</v>
      </c>
      <c r="B15" s="66" t="s">
        <v>50</v>
      </c>
      <c r="C15" s="66" t="s">
        <v>51</v>
      </c>
      <c r="D15" s="66" t="s">
        <v>52</v>
      </c>
      <c r="E15" s="59">
        <v>2</v>
      </c>
      <c r="F15" s="59">
        <v>2</v>
      </c>
      <c r="G15" s="66" t="s">
        <v>53</v>
      </c>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row>
    <row r="16" spans="1:133" s="48" customFormat="1" ht="54" customHeight="1">
      <c r="A16" s="67" t="s">
        <v>54</v>
      </c>
      <c r="B16" s="66" t="s">
        <v>55</v>
      </c>
      <c r="C16" s="66" t="s">
        <v>56</v>
      </c>
      <c r="D16" s="66" t="s">
        <v>57</v>
      </c>
      <c r="E16" s="59">
        <v>3</v>
      </c>
      <c r="F16" s="59">
        <v>2</v>
      </c>
      <c r="G16" s="66" t="s">
        <v>58</v>
      </c>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row>
    <row r="17" spans="1:133" s="48" customFormat="1" ht="54" customHeight="1">
      <c r="A17" s="59"/>
      <c r="B17" s="60"/>
      <c r="C17" s="60"/>
      <c r="D17" s="60"/>
      <c r="E17" s="59"/>
      <c r="F17" s="59"/>
      <c r="G17" s="60"/>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row>
    <row r="18" spans="1:133" s="48" customFormat="1" ht="54" customHeight="1">
      <c r="A18" s="59"/>
      <c r="B18" s="60"/>
      <c r="C18" s="60"/>
      <c r="D18" s="60"/>
      <c r="E18" s="59"/>
      <c r="F18" s="59"/>
      <c r="G18" s="60"/>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row>
    <row r="19" spans="1:133" s="48" customFormat="1" ht="54" customHeight="1">
      <c r="A19" s="59"/>
      <c r="B19" s="60"/>
      <c r="C19" s="60"/>
      <c r="D19" s="60"/>
      <c r="E19" s="59"/>
      <c r="F19" s="59"/>
      <c r="G19" s="60"/>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row>
    <row r="20" spans="1:133" s="48" customFormat="1" ht="54" customHeight="1">
      <c r="A20" s="59"/>
      <c r="B20" s="60"/>
      <c r="C20" s="60"/>
      <c r="D20" s="60"/>
      <c r="E20" s="59"/>
      <c r="F20" s="59"/>
      <c r="G20" s="60"/>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row>
    <row r="21" spans="1:133" s="48" customFormat="1">
      <c r="A21" s="68"/>
      <c r="B21" s="68"/>
      <c r="C21" s="68"/>
      <c r="D21" s="68"/>
      <c r="E21" s="68"/>
      <c r="F21" s="68"/>
      <c r="G21" s="68"/>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row>
    <row r="22" spans="1:133">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row>
    <row r="23" spans="1:133">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row>
    <row r="24" spans="1:133">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row>
  </sheetData>
  <autoFilter ref="B1:F1" xr:uid="{00000000-0009-0000-0000-000001000000}"/>
  <mergeCells count="1">
    <mergeCell ref="A2:F2"/>
  </mergeCells>
  <pageMargins left="0.75" right="0.75" top="1" bottom="1" header="0.5" footer="0.5"/>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48"/>
  <sheetViews>
    <sheetView topLeftCell="B12" workbookViewId="0">
      <selection activeCell="E4" sqref="E4:J4"/>
    </sheetView>
  </sheetViews>
  <sheetFormatPr defaultColWidth="11.42578125" defaultRowHeight="12.75"/>
  <cols>
    <col min="1" max="1" width="6.85546875" style="5" customWidth="1"/>
    <col min="2" max="2" width="11.7109375" style="5" customWidth="1"/>
    <col min="3" max="3" width="33.85546875" style="6" customWidth="1"/>
    <col min="4" max="4" width="21.140625" style="6" customWidth="1"/>
    <col min="5" max="5" width="10.42578125" style="4" customWidth="1"/>
    <col min="6" max="12" width="11.42578125" style="4" customWidth="1"/>
    <col min="13" max="17" width="11.42578125" style="5" customWidth="1"/>
    <col min="18" max="16384" width="11.42578125" style="5"/>
  </cols>
  <sheetData>
    <row r="2" spans="1:19" ht="43.5" customHeight="1">
      <c r="A2" s="90" t="str">
        <f>CONCATENATE("Sprint #",E5, "Tracking Sheet")</f>
        <v>Sprint #1Tracking Sheet</v>
      </c>
      <c r="B2" s="91"/>
      <c r="C2" s="92"/>
      <c r="D2" s="92"/>
      <c r="E2" s="93"/>
      <c r="F2" s="93"/>
      <c r="G2" s="93"/>
      <c r="H2" s="93"/>
      <c r="I2" s="93"/>
      <c r="J2" s="93"/>
      <c r="K2" s="93"/>
      <c r="L2" s="93"/>
      <c r="M2" s="84"/>
      <c r="N2" s="84"/>
      <c r="O2" s="84"/>
      <c r="P2" s="84"/>
      <c r="Q2" s="84"/>
      <c r="R2" s="84"/>
      <c r="S2" s="84"/>
    </row>
    <row r="4" spans="1:19">
      <c r="A4" s="2"/>
      <c r="B4" s="84"/>
      <c r="C4" s="32" t="s">
        <v>15</v>
      </c>
      <c r="D4" s="49"/>
      <c r="E4" s="96" t="s">
        <v>16</v>
      </c>
      <c r="F4" s="102"/>
      <c r="G4" s="102"/>
      <c r="H4" s="102"/>
      <c r="I4" s="102"/>
      <c r="J4" s="103"/>
      <c r="K4" s="86"/>
      <c r="L4" s="86"/>
      <c r="M4" s="84"/>
      <c r="N4" s="84"/>
      <c r="O4" s="84"/>
      <c r="P4" s="84"/>
      <c r="Q4" s="84"/>
      <c r="R4" s="84"/>
      <c r="S4" s="84"/>
    </row>
    <row r="5" spans="1:19">
      <c r="A5" s="84"/>
      <c r="B5" s="84"/>
      <c r="C5" s="11" t="s">
        <v>30</v>
      </c>
      <c r="D5" s="11"/>
      <c r="E5" s="22">
        <v>1</v>
      </c>
      <c r="F5" s="86"/>
      <c r="G5" s="86"/>
      <c r="H5" s="86"/>
      <c r="I5" s="86"/>
      <c r="J5" s="86"/>
      <c r="K5" s="86"/>
      <c r="L5" s="86"/>
      <c r="M5" s="84"/>
      <c r="N5" s="84"/>
      <c r="O5" s="84"/>
      <c r="P5" s="84"/>
      <c r="Q5" s="84"/>
      <c r="R5" s="84"/>
      <c r="S5" s="84"/>
    </row>
    <row r="6" spans="1:19">
      <c r="A6" s="84"/>
      <c r="B6" s="84"/>
      <c r="C6" s="11" t="s">
        <v>59</v>
      </c>
      <c r="D6" s="11"/>
      <c r="E6" s="23">
        <v>46147</v>
      </c>
      <c r="F6" s="86"/>
      <c r="G6" s="86"/>
      <c r="H6" s="86"/>
      <c r="I6" s="86"/>
      <c r="J6" s="86"/>
      <c r="K6" s="86"/>
      <c r="L6" s="86"/>
      <c r="M6" s="84"/>
      <c r="N6" s="84"/>
      <c r="O6" s="84"/>
      <c r="P6" s="84"/>
      <c r="Q6" s="84"/>
      <c r="R6" s="84"/>
      <c r="S6" s="84"/>
    </row>
    <row r="7" spans="1:19" ht="13.5" customHeight="1" thickBot="1">
      <c r="A7" s="84"/>
      <c r="B7" s="84"/>
      <c r="C7" s="3"/>
      <c r="D7" s="11" t="s">
        <v>60</v>
      </c>
      <c r="E7" s="22">
        <v>5</v>
      </c>
      <c r="F7" s="86"/>
      <c r="G7" s="86"/>
      <c r="H7" s="86"/>
      <c r="I7" s="86"/>
      <c r="J7" s="86"/>
      <c r="K7" s="86"/>
      <c r="L7" s="86"/>
      <c r="M7" s="84"/>
      <c r="N7" s="84"/>
      <c r="O7" s="84"/>
      <c r="P7" s="84"/>
      <c r="Q7" s="84"/>
      <c r="R7" s="84"/>
      <c r="S7" s="84"/>
    </row>
    <row r="8" spans="1:19" ht="13.5" customHeight="1" thickBot="1">
      <c r="A8" s="84"/>
      <c r="B8" s="84"/>
      <c r="C8" s="85"/>
      <c r="D8" s="85"/>
      <c r="E8" s="86"/>
      <c r="F8" s="95" t="s">
        <v>61</v>
      </c>
      <c r="G8" s="104"/>
      <c r="H8" s="104"/>
      <c r="I8" s="104"/>
      <c r="J8" s="104"/>
      <c r="K8" s="104"/>
      <c r="L8" s="105"/>
      <c r="M8" s="95" t="s">
        <v>62</v>
      </c>
      <c r="N8" s="104"/>
      <c r="O8" s="104"/>
      <c r="P8" s="104"/>
      <c r="Q8" s="104"/>
      <c r="R8" s="104"/>
      <c r="S8" s="105"/>
    </row>
    <row r="9" spans="1:19" ht="12.75" customHeight="1" thickBot="1">
      <c r="A9" s="84"/>
      <c r="B9" s="84"/>
      <c r="C9" s="85"/>
      <c r="D9" s="85"/>
      <c r="E9" s="86"/>
      <c r="F9" s="54">
        <v>1</v>
      </c>
      <c r="G9" s="55">
        <v>2</v>
      </c>
      <c r="H9" s="54">
        <v>3</v>
      </c>
      <c r="I9" s="55">
        <v>4</v>
      </c>
      <c r="J9" s="54">
        <v>5</v>
      </c>
      <c r="K9" s="55">
        <v>6</v>
      </c>
      <c r="L9" s="54">
        <v>7</v>
      </c>
      <c r="M9" s="55">
        <v>8</v>
      </c>
      <c r="N9" s="54">
        <v>9</v>
      </c>
      <c r="O9" s="55">
        <v>10</v>
      </c>
      <c r="P9" s="54">
        <v>11</v>
      </c>
      <c r="Q9" s="55">
        <v>12</v>
      </c>
      <c r="R9" s="54">
        <v>13</v>
      </c>
      <c r="S9" s="55">
        <v>14</v>
      </c>
    </row>
    <row r="10" spans="1:19" s="3" customFormat="1" ht="27" customHeight="1">
      <c r="A10" s="17" t="s">
        <v>63</v>
      </c>
      <c r="B10" s="19" t="s">
        <v>64</v>
      </c>
      <c r="C10" s="18" t="s">
        <v>27</v>
      </c>
      <c r="D10" s="50" t="s">
        <v>31</v>
      </c>
      <c r="E10" s="20" t="s">
        <v>65</v>
      </c>
      <c r="F10" s="26">
        <f>E6</f>
        <v>46147</v>
      </c>
      <c r="G10" s="21">
        <f t="shared" ref="G10:S10" si="0">F10+1</f>
        <v>46148</v>
      </c>
      <c r="H10" s="21">
        <f t="shared" si="0"/>
        <v>46149</v>
      </c>
      <c r="I10" s="21">
        <f t="shared" si="0"/>
        <v>46150</v>
      </c>
      <c r="J10" s="21">
        <f t="shared" si="0"/>
        <v>46151</v>
      </c>
      <c r="K10" s="21">
        <f t="shared" si="0"/>
        <v>46152</v>
      </c>
      <c r="L10" s="21">
        <f t="shared" si="0"/>
        <v>46153</v>
      </c>
      <c r="M10" s="21">
        <f t="shared" si="0"/>
        <v>46154</v>
      </c>
      <c r="N10" s="21">
        <f t="shared" si="0"/>
        <v>46155</v>
      </c>
      <c r="O10" s="21">
        <f t="shared" si="0"/>
        <v>46156</v>
      </c>
      <c r="P10" s="21">
        <f t="shared" si="0"/>
        <v>46157</v>
      </c>
      <c r="Q10" s="21">
        <f t="shared" si="0"/>
        <v>46158</v>
      </c>
      <c r="R10" s="21">
        <f t="shared" si="0"/>
        <v>46159</v>
      </c>
      <c r="S10" s="21">
        <f t="shared" si="0"/>
        <v>46160</v>
      </c>
    </row>
    <row r="11" spans="1:19" s="31" customFormat="1">
      <c r="A11" s="27" t="s">
        <v>66</v>
      </c>
      <c r="B11" s="28" t="s">
        <v>36</v>
      </c>
      <c r="C11" s="29" t="s">
        <v>67</v>
      </c>
      <c r="D11" s="51" t="s">
        <v>68</v>
      </c>
      <c r="E11" s="64">
        <v>2</v>
      </c>
      <c r="F11" s="30">
        <v>1</v>
      </c>
      <c r="G11" s="30"/>
      <c r="H11" s="30">
        <v>2</v>
      </c>
      <c r="I11" s="30"/>
      <c r="J11" s="28"/>
      <c r="K11" s="28"/>
      <c r="L11" s="28"/>
      <c r="M11" s="30">
        <v>3</v>
      </c>
      <c r="N11" s="30"/>
      <c r="O11" s="30"/>
      <c r="P11" s="30">
        <v>3</v>
      </c>
      <c r="Q11" s="28"/>
      <c r="R11" s="28"/>
      <c r="S11" s="28"/>
    </row>
    <row r="12" spans="1:19" s="31" customFormat="1" ht="25.5" customHeight="1">
      <c r="A12" s="27" t="s">
        <v>69</v>
      </c>
      <c r="B12" s="28" t="s">
        <v>32</v>
      </c>
      <c r="C12" s="29" t="s">
        <v>70</v>
      </c>
      <c r="D12" s="51" t="s">
        <v>71</v>
      </c>
      <c r="E12" s="64">
        <v>6</v>
      </c>
      <c r="F12" s="30">
        <v>1</v>
      </c>
      <c r="G12" s="30">
        <v>2</v>
      </c>
      <c r="H12" s="30">
        <v>1</v>
      </c>
      <c r="I12" s="30">
        <v>1</v>
      </c>
      <c r="J12" s="28">
        <v>2</v>
      </c>
      <c r="K12" s="28">
        <v>1</v>
      </c>
      <c r="L12" s="28">
        <v>0</v>
      </c>
      <c r="M12" s="30">
        <v>1</v>
      </c>
      <c r="N12" s="30">
        <v>2</v>
      </c>
      <c r="O12" s="30">
        <v>1</v>
      </c>
      <c r="P12" s="30">
        <v>1</v>
      </c>
      <c r="Q12" s="28">
        <v>1</v>
      </c>
      <c r="R12" s="28">
        <v>2</v>
      </c>
      <c r="S12" s="28"/>
    </row>
    <row r="13" spans="1:19" s="31" customFormat="1">
      <c r="A13" s="27" t="s">
        <v>72</v>
      </c>
      <c r="B13" s="28" t="s">
        <v>32</v>
      </c>
      <c r="C13" s="29" t="s">
        <v>73</v>
      </c>
      <c r="D13" s="51" t="s">
        <v>74</v>
      </c>
      <c r="E13" s="64">
        <v>5</v>
      </c>
      <c r="F13" s="30"/>
      <c r="G13" s="28">
        <v>3</v>
      </c>
      <c r="H13" s="28">
        <v>2</v>
      </c>
      <c r="I13" s="28"/>
      <c r="J13" s="28"/>
      <c r="K13" s="28"/>
      <c r="L13" s="28"/>
      <c r="M13" s="30"/>
      <c r="N13" s="28">
        <v>2</v>
      </c>
      <c r="O13" s="28"/>
      <c r="P13" s="28"/>
      <c r="Q13" s="28"/>
      <c r="R13" s="28"/>
      <c r="S13" s="28"/>
    </row>
    <row r="14" spans="1:19" s="31" customFormat="1">
      <c r="A14" s="27" t="s">
        <v>75</v>
      </c>
      <c r="B14" s="28" t="s">
        <v>32</v>
      </c>
      <c r="C14" s="29" t="s">
        <v>76</v>
      </c>
      <c r="D14" s="51" t="s">
        <v>77</v>
      </c>
      <c r="E14" s="64">
        <v>5</v>
      </c>
      <c r="F14" s="30">
        <v>0</v>
      </c>
      <c r="G14" s="28">
        <v>1</v>
      </c>
      <c r="H14" s="28">
        <v>1</v>
      </c>
      <c r="I14" s="28">
        <v>2</v>
      </c>
      <c r="J14" s="28">
        <v>1</v>
      </c>
      <c r="K14" s="28">
        <v>1</v>
      </c>
      <c r="L14" s="28">
        <v>0</v>
      </c>
      <c r="M14" s="30">
        <v>1</v>
      </c>
      <c r="N14" s="28">
        <v>1</v>
      </c>
      <c r="O14" s="28">
        <v>1</v>
      </c>
      <c r="P14" s="28">
        <v>0</v>
      </c>
      <c r="Q14" s="28">
        <v>1</v>
      </c>
      <c r="R14" s="28">
        <v>1</v>
      </c>
      <c r="S14" s="28"/>
    </row>
    <row r="15" spans="1:19" s="31" customFormat="1">
      <c r="A15" s="27" t="s">
        <v>78</v>
      </c>
      <c r="B15" s="28" t="s">
        <v>44</v>
      </c>
      <c r="C15" s="29" t="s">
        <v>79</v>
      </c>
      <c r="D15" s="51" t="s">
        <v>80</v>
      </c>
      <c r="E15" s="64">
        <v>4</v>
      </c>
      <c r="F15" s="30"/>
      <c r="G15" s="28"/>
      <c r="H15" s="28"/>
      <c r="I15" s="28"/>
      <c r="J15" s="28"/>
      <c r="K15" s="28"/>
      <c r="L15" s="28"/>
      <c r="M15" s="30"/>
      <c r="N15" s="28"/>
      <c r="O15" s="28"/>
      <c r="P15" s="28"/>
      <c r="Q15" s="28"/>
      <c r="R15" s="28"/>
      <c r="S15" s="28"/>
    </row>
    <row r="16" spans="1:19" s="31" customFormat="1" ht="25.5" customHeight="1">
      <c r="A16" s="27" t="s">
        <v>81</v>
      </c>
      <c r="B16" s="28" t="s">
        <v>54</v>
      </c>
      <c r="C16" s="29" t="s">
        <v>82</v>
      </c>
      <c r="D16" s="51" t="s">
        <v>83</v>
      </c>
      <c r="E16" s="64">
        <v>2</v>
      </c>
      <c r="F16" s="30">
        <v>1</v>
      </c>
      <c r="G16" s="28">
        <v>1</v>
      </c>
      <c r="H16" s="28">
        <v>1</v>
      </c>
      <c r="I16" s="28">
        <v>1</v>
      </c>
      <c r="J16" s="28">
        <v>1</v>
      </c>
      <c r="K16" s="28">
        <v>1</v>
      </c>
      <c r="L16" s="28">
        <v>1</v>
      </c>
      <c r="M16" s="30">
        <v>1</v>
      </c>
      <c r="N16" s="28">
        <v>1</v>
      </c>
      <c r="O16" s="28">
        <v>1</v>
      </c>
      <c r="P16" s="28">
        <v>0</v>
      </c>
      <c r="Q16" s="28">
        <v>0</v>
      </c>
      <c r="R16" s="28">
        <v>0</v>
      </c>
      <c r="S16" s="28"/>
    </row>
    <row r="17" spans="1:19" s="8" customFormat="1">
      <c r="A17" s="27" t="s">
        <v>84</v>
      </c>
      <c r="B17" s="28" t="s">
        <v>32</v>
      </c>
      <c r="C17" s="61" t="s">
        <v>85</v>
      </c>
      <c r="D17" s="63" t="s">
        <v>86</v>
      </c>
      <c r="E17" s="64">
        <v>6</v>
      </c>
      <c r="F17" s="30">
        <v>1</v>
      </c>
      <c r="G17" s="24">
        <v>2</v>
      </c>
      <c r="H17" s="24">
        <v>2</v>
      </c>
      <c r="I17" s="24">
        <v>1</v>
      </c>
      <c r="J17" s="24">
        <v>1</v>
      </c>
      <c r="K17" s="24">
        <v>1</v>
      </c>
      <c r="L17" s="24">
        <v>0</v>
      </c>
      <c r="M17" s="30">
        <v>1</v>
      </c>
      <c r="N17" s="24">
        <v>0</v>
      </c>
      <c r="O17" s="24">
        <v>0</v>
      </c>
      <c r="P17" s="24">
        <v>1</v>
      </c>
      <c r="Q17" s="24">
        <v>1</v>
      </c>
      <c r="R17" s="24">
        <v>1</v>
      </c>
      <c r="S17" s="24"/>
    </row>
    <row r="18" spans="1:19" s="8" customFormat="1" ht="13.5" customHeight="1" thickBot="1">
      <c r="A18" s="56" t="s">
        <v>87</v>
      </c>
      <c r="B18" s="69" t="s">
        <v>32</v>
      </c>
      <c r="C18" s="62" t="s">
        <v>88</v>
      </c>
      <c r="D18" s="62" t="s">
        <v>83</v>
      </c>
      <c r="E18" s="65">
        <v>2</v>
      </c>
      <c r="F18" s="56">
        <v>0</v>
      </c>
      <c r="G18" s="25">
        <v>0</v>
      </c>
      <c r="H18" s="25">
        <v>1</v>
      </c>
      <c r="I18" s="25">
        <v>1</v>
      </c>
      <c r="J18" s="25">
        <v>1</v>
      </c>
      <c r="K18" s="25">
        <v>0</v>
      </c>
      <c r="L18" s="25">
        <v>1</v>
      </c>
      <c r="M18" s="56">
        <v>0</v>
      </c>
      <c r="N18" s="25">
        <v>1</v>
      </c>
      <c r="O18" s="25">
        <v>1</v>
      </c>
      <c r="P18" s="25">
        <v>1</v>
      </c>
      <c r="Q18" s="25">
        <v>1</v>
      </c>
      <c r="R18" s="25">
        <v>2</v>
      </c>
      <c r="S18" s="25"/>
    </row>
    <row r="19" spans="1:19" ht="25.5" customHeight="1">
      <c r="A19" s="27" t="s">
        <v>89</v>
      </c>
      <c r="B19" s="28" t="s">
        <v>32</v>
      </c>
      <c r="C19" s="61" t="s">
        <v>90</v>
      </c>
      <c r="D19" s="63" t="s">
        <v>83</v>
      </c>
      <c r="E19" s="64">
        <v>2</v>
      </c>
      <c r="F19" s="30">
        <v>0</v>
      </c>
      <c r="G19" s="24">
        <v>1</v>
      </c>
      <c r="H19" s="24">
        <v>0</v>
      </c>
      <c r="I19" s="24">
        <v>1</v>
      </c>
      <c r="J19" s="24">
        <v>1</v>
      </c>
      <c r="K19" s="24">
        <v>0</v>
      </c>
      <c r="L19" s="24">
        <v>1</v>
      </c>
      <c r="M19" s="30">
        <v>0</v>
      </c>
      <c r="N19" s="24">
        <v>1</v>
      </c>
      <c r="O19" s="24">
        <v>1</v>
      </c>
      <c r="P19" s="24">
        <v>1</v>
      </c>
      <c r="Q19" s="24">
        <v>1</v>
      </c>
      <c r="R19" s="24">
        <v>2</v>
      </c>
      <c r="S19" s="24"/>
    </row>
    <row r="20" spans="1:19" ht="26.25" customHeight="1" thickBot="1">
      <c r="A20" s="56" t="s">
        <v>91</v>
      </c>
      <c r="B20" s="69" t="s">
        <v>36</v>
      </c>
      <c r="C20" s="62" t="s">
        <v>92</v>
      </c>
      <c r="D20" s="62" t="s">
        <v>83</v>
      </c>
      <c r="E20" s="65">
        <v>3</v>
      </c>
      <c r="F20" s="56">
        <v>0</v>
      </c>
      <c r="G20" s="25">
        <v>0</v>
      </c>
      <c r="H20" s="25">
        <v>0</v>
      </c>
      <c r="I20" s="25">
        <v>0</v>
      </c>
      <c r="J20" s="25">
        <v>0</v>
      </c>
      <c r="K20" s="25">
        <v>0</v>
      </c>
      <c r="L20" s="25">
        <v>0</v>
      </c>
      <c r="M20" s="56">
        <v>0</v>
      </c>
      <c r="N20" s="25">
        <v>0</v>
      </c>
      <c r="O20" s="25">
        <v>0</v>
      </c>
      <c r="P20" s="25">
        <v>0</v>
      </c>
      <c r="Q20" s="25">
        <v>0</v>
      </c>
      <c r="R20" s="25">
        <v>0</v>
      </c>
      <c r="S20" s="25"/>
    </row>
    <row r="21" spans="1:19">
      <c r="A21" s="27" t="s">
        <v>93</v>
      </c>
      <c r="B21" s="28" t="s">
        <v>36</v>
      </c>
      <c r="C21" s="61" t="s">
        <v>94</v>
      </c>
      <c r="D21" s="63" t="s">
        <v>83</v>
      </c>
      <c r="E21" s="64">
        <v>2</v>
      </c>
      <c r="F21" s="30">
        <v>0</v>
      </c>
      <c r="G21" s="24">
        <v>0</v>
      </c>
      <c r="H21" s="24">
        <v>0</v>
      </c>
      <c r="I21" s="24">
        <v>0</v>
      </c>
      <c r="J21" s="24">
        <v>0</v>
      </c>
      <c r="K21" s="24">
        <v>0</v>
      </c>
      <c r="L21" s="24">
        <v>0</v>
      </c>
      <c r="M21" s="30">
        <v>0</v>
      </c>
      <c r="N21" s="24">
        <v>0</v>
      </c>
      <c r="O21" s="24">
        <v>0</v>
      </c>
      <c r="P21" s="24">
        <v>0</v>
      </c>
      <c r="Q21" s="24">
        <v>0</v>
      </c>
      <c r="R21" s="24">
        <v>0</v>
      </c>
      <c r="S21" s="24"/>
    </row>
    <row r="22" spans="1:19" ht="13.5" customHeight="1" thickBot="1">
      <c r="A22" s="56" t="s">
        <v>95</v>
      </c>
      <c r="B22" s="69" t="s">
        <v>32</v>
      </c>
      <c r="C22" s="62" t="s">
        <v>96</v>
      </c>
      <c r="D22" s="62" t="s">
        <v>83</v>
      </c>
      <c r="E22" s="65">
        <v>2</v>
      </c>
      <c r="F22" s="56">
        <v>0</v>
      </c>
      <c r="G22" s="25">
        <v>0</v>
      </c>
      <c r="H22" s="25">
        <v>0</v>
      </c>
      <c r="I22" s="25">
        <v>0</v>
      </c>
      <c r="J22" s="25">
        <v>0</v>
      </c>
      <c r="K22" s="25">
        <v>0</v>
      </c>
      <c r="L22" s="25">
        <v>0</v>
      </c>
      <c r="M22" s="56">
        <v>0</v>
      </c>
      <c r="N22" s="25">
        <v>0</v>
      </c>
      <c r="O22" s="25">
        <v>0</v>
      </c>
      <c r="P22" s="25">
        <v>0</v>
      </c>
      <c r="Q22" s="25">
        <v>0</v>
      </c>
      <c r="R22" s="25">
        <v>0</v>
      </c>
      <c r="S22" s="25"/>
    </row>
    <row r="23" spans="1:19" ht="13.5" customHeight="1" thickBot="1">
      <c r="A23" s="56" t="s">
        <v>97</v>
      </c>
      <c r="B23" s="69" t="s">
        <v>32</v>
      </c>
      <c r="C23" s="62" t="s">
        <v>98</v>
      </c>
      <c r="D23" s="62" t="s">
        <v>83</v>
      </c>
      <c r="E23" s="65">
        <v>1</v>
      </c>
      <c r="F23" s="56">
        <v>1</v>
      </c>
      <c r="G23" s="25">
        <v>1</v>
      </c>
      <c r="H23" s="25">
        <v>1</v>
      </c>
      <c r="I23" s="25">
        <v>1</v>
      </c>
      <c r="J23" s="25">
        <v>1</v>
      </c>
      <c r="K23" s="25">
        <v>1</v>
      </c>
      <c r="L23" s="25">
        <v>1</v>
      </c>
      <c r="M23" s="56">
        <v>1</v>
      </c>
      <c r="N23" s="25">
        <v>1</v>
      </c>
      <c r="O23" s="25">
        <v>1</v>
      </c>
      <c r="P23" s="25">
        <v>1</v>
      </c>
      <c r="Q23" s="25">
        <v>1</v>
      </c>
      <c r="R23" s="25">
        <v>2</v>
      </c>
      <c r="S23" s="25"/>
    </row>
    <row r="24" spans="1:19">
      <c r="A24" s="84"/>
      <c r="B24" s="84"/>
      <c r="C24" s="12" t="s">
        <v>99</v>
      </c>
      <c r="D24" s="52"/>
      <c r="E24" s="94">
        <v>42</v>
      </c>
      <c r="F24" s="9">
        <f>IF(SUM(F11:F23)&gt;0,E24-SUM(F11:F23),NA())</f>
        <v>37</v>
      </c>
      <c r="G24" s="9">
        <f>IF(SUM(G11:G23)&gt;0,E24-SUM(F11:G23),NA())</f>
        <v>26</v>
      </c>
      <c r="H24" s="9">
        <f>IF(SUM(H11:H23)&gt;0,F24-SUM(G11:H23),NA())</f>
        <v>15</v>
      </c>
      <c r="I24" s="9">
        <f>IF(SUM(I11:I23)&gt;0,E24-SUM(F11:I23),NA())</f>
        <v>7</v>
      </c>
      <c r="J24" s="9">
        <f>IF(SUM(J11:J23)&gt;0,E24-SUM(F11:J23),NA())</f>
        <v>-1</v>
      </c>
      <c r="K24" s="9">
        <f>IF(SUM(K11:K23)&gt;0,E24-SUM(F11:K23),NA())</f>
        <v>-6</v>
      </c>
      <c r="L24" s="9">
        <f>IF(SUM(L11:L23)&gt;0,E24-SUM(F11:L23),NA())</f>
        <v>-10</v>
      </c>
      <c r="M24" s="9">
        <f>IF(SUM(M11:M23)&gt;0,E24-SUM(F11:M23),NA())</f>
        <v>-18</v>
      </c>
      <c r="N24" s="9">
        <f>IF(SUM(N11:N23)&gt;0,E24-SUM(F11:N23),NA())</f>
        <v>-27</v>
      </c>
      <c r="O24" s="9">
        <f>IF(SUM(O11:O23)&gt;0,E24-SUM(F11:O23),NA())</f>
        <v>-33</v>
      </c>
      <c r="P24" s="9">
        <f>IF(SUM(P11:P23)&gt;0,E24-SUM(F11:P23),NA())</f>
        <v>-41</v>
      </c>
      <c r="Q24" s="9">
        <f>IF(SUM(Q11:Q23)&gt;0,E24-SUM(F11:Q23),NA())</f>
        <v>-47</v>
      </c>
      <c r="R24" s="9">
        <f>IF(SUM(R11:R23)&gt;0,E24-SUM(F11:R23),NA())</f>
        <v>-57</v>
      </c>
      <c r="S24" s="9" t="e">
        <f>IF(SUM(S11:S23)&gt;0,E24-SUM(F11:S23),NA())</f>
        <v>#N/A</v>
      </c>
    </row>
    <row r="25" spans="1:19">
      <c r="A25" s="84"/>
      <c r="B25" s="84"/>
      <c r="C25" s="12" t="s">
        <v>100</v>
      </c>
      <c r="D25" s="53"/>
      <c r="E25" s="106"/>
      <c r="F25" s="10">
        <f>E24-(E24/14)</f>
        <v>39</v>
      </c>
      <c r="G25" s="10">
        <f>F25-(E24/14)</f>
        <v>36</v>
      </c>
      <c r="H25" s="10">
        <f>G25-(E24/14)</f>
        <v>33</v>
      </c>
      <c r="I25" s="10">
        <f>H25-(E24/14)</f>
        <v>30</v>
      </c>
      <c r="J25" s="10">
        <f>I25-(E24/14)</f>
        <v>27</v>
      </c>
      <c r="K25" s="10">
        <f>J25-(E24/14)</f>
        <v>24</v>
      </c>
      <c r="L25" s="10">
        <f>K25-(E24/14)</f>
        <v>21</v>
      </c>
      <c r="M25" s="10">
        <f>L25-(E24/14)</f>
        <v>18</v>
      </c>
      <c r="N25" s="10">
        <f>M25-(E24/14)</f>
        <v>15</v>
      </c>
      <c r="O25" s="10">
        <f>N25-(E24/14)</f>
        <v>12</v>
      </c>
      <c r="P25" s="10">
        <f>O25-(E24/14)</f>
        <v>9</v>
      </c>
      <c r="Q25" s="10">
        <f>P25-(E24/14)</f>
        <v>6</v>
      </c>
      <c r="R25" s="10">
        <f>Q25-(E24/14)</f>
        <v>3</v>
      </c>
      <c r="S25" s="10">
        <f>R25-(E24/14)</f>
        <v>0</v>
      </c>
    </row>
    <row r="26" spans="1:19">
      <c r="A26" s="84"/>
      <c r="B26" s="84"/>
      <c r="C26" s="85"/>
      <c r="D26" s="85"/>
      <c r="E26" s="86"/>
      <c r="F26" s="86"/>
      <c r="G26" s="86"/>
      <c r="H26" s="86"/>
      <c r="I26" s="86"/>
      <c r="J26" s="86"/>
      <c r="K26" s="86"/>
      <c r="L26" s="86"/>
      <c r="M26" s="86"/>
      <c r="N26" s="86"/>
      <c r="O26" s="86"/>
      <c r="P26" s="86"/>
      <c r="Q26" s="86"/>
      <c r="R26" s="86"/>
      <c r="S26" s="86"/>
    </row>
    <row r="27" spans="1:19">
      <c r="A27" s="84"/>
      <c r="B27" s="84"/>
      <c r="C27" s="85"/>
      <c r="D27" s="85"/>
      <c r="E27" s="86"/>
      <c r="F27" s="86"/>
      <c r="G27" s="86"/>
      <c r="H27" s="86"/>
      <c r="I27" s="86"/>
      <c r="J27" s="86"/>
      <c r="K27" s="86"/>
      <c r="L27" s="86"/>
      <c r="M27" s="86"/>
      <c r="N27" s="86"/>
      <c r="O27" s="86"/>
      <c r="P27" s="86"/>
      <c r="Q27" s="86"/>
      <c r="R27" s="86"/>
      <c r="S27" s="86"/>
    </row>
    <row r="28" spans="1:19">
      <c r="A28" s="84"/>
      <c r="B28" s="84"/>
      <c r="C28" s="85"/>
      <c r="D28" s="85"/>
      <c r="E28" s="86"/>
      <c r="F28" s="86"/>
      <c r="G28" s="86"/>
      <c r="H28" s="86"/>
      <c r="I28" s="86"/>
      <c r="J28" s="86"/>
      <c r="K28" s="86"/>
      <c r="L28" s="86"/>
      <c r="M28" s="86"/>
      <c r="N28" s="86"/>
      <c r="O28" s="86"/>
      <c r="P28" s="86"/>
      <c r="Q28" s="86"/>
      <c r="R28" s="86"/>
      <c r="S28" s="86"/>
    </row>
    <row r="29" spans="1:19">
      <c r="A29" s="84"/>
      <c r="B29" s="84"/>
      <c r="C29" s="85"/>
      <c r="D29" s="85"/>
      <c r="E29" s="86"/>
      <c r="F29" s="86"/>
      <c r="G29" s="86"/>
      <c r="H29" s="86"/>
      <c r="I29" s="86"/>
      <c r="J29" s="86"/>
      <c r="K29" s="86"/>
      <c r="L29" s="86"/>
      <c r="M29" s="86"/>
      <c r="N29" s="86"/>
      <c r="O29" s="86"/>
      <c r="P29" s="86"/>
      <c r="Q29" s="86"/>
      <c r="R29" s="86"/>
      <c r="S29" s="86"/>
    </row>
    <row r="30" spans="1:19">
      <c r="A30" s="84"/>
      <c r="B30" s="84"/>
      <c r="C30" s="85"/>
      <c r="D30" s="85"/>
      <c r="E30" s="86"/>
      <c r="F30" s="86"/>
      <c r="G30" s="86"/>
      <c r="H30" s="86"/>
      <c r="I30" s="86"/>
      <c r="J30" s="86"/>
      <c r="K30" s="7">
        <v>0</v>
      </c>
      <c r="L30" s="86">
        <f>SUM(E11:E19)</f>
        <v>34</v>
      </c>
      <c r="M30" s="86"/>
      <c r="N30" s="86"/>
      <c r="O30" s="86"/>
      <c r="P30" s="86"/>
      <c r="Q30" s="86"/>
      <c r="R30" s="7">
        <v>0</v>
      </c>
      <c r="S30" s="86"/>
    </row>
    <row r="31" spans="1:19">
      <c r="A31" s="84"/>
      <c r="B31" s="84"/>
      <c r="C31" s="85"/>
      <c r="D31" s="85"/>
      <c r="E31" s="86"/>
      <c r="F31" s="86"/>
      <c r="G31" s="86"/>
      <c r="H31" s="86"/>
      <c r="I31" s="86"/>
      <c r="J31" s="86"/>
      <c r="K31" s="7">
        <v>10</v>
      </c>
      <c r="L31" s="7">
        <v>0</v>
      </c>
      <c r="M31" s="86"/>
      <c r="N31" s="86"/>
      <c r="O31" s="86"/>
      <c r="P31" s="86"/>
      <c r="Q31" s="86"/>
      <c r="R31" s="7">
        <v>10</v>
      </c>
      <c r="S31" s="7"/>
    </row>
    <row r="32" spans="1:19">
      <c r="A32" s="84"/>
      <c r="B32" s="84"/>
      <c r="C32" s="85"/>
      <c r="D32" s="85"/>
      <c r="E32" s="86"/>
      <c r="F32" s="86"/>
      <c r="G32" s="86"/>
      <c r="H32" s="86"/>
      <c r="I32" s="86"/>
      <c r="J32" s="86"/>
      <c r="K32" s="86"/>
      <c r="L32" s="86"/>
      <c r="M32" s="86"/>
      <c r="N32" s="86"/>
      <c r="O32" s="86"/>
      <c r="P32" s="86"/>
      <c r="Q32" s="86"/>
      <c r="R32" s="86"/>
      <c r="S32" s="86"/>
    </row>
    <row r="33" spans="13:19">
      <c r="M33" s="86"/>
      <c r="N33" s="86"/>
      <c r="O33" s="86"/>
      <c r="P33" s="86"/>
      <c r="Q33" s="86"/>
      <c r="R33" s="86"/>
      <c r="S33" s="86"/>
    </row>
    <row r="34" spans="13:19">
      <c r="M34" s="86"/>
      <c r="N34" s="86"/>
      <c r="O34" s="86"/>
      <c r="P34" s="86"/>
      <c r="Q34" s="86"/>
      <c r="R34" s="86"/>
      <c r="S34" s="86"/>
    </row>
    <row r="35" spans="13:19">
      <c r="M35" s="86"/>
      <c r="N35" s="86"/>
      <c r="O35" s="86"/>
      <c r="P35" s="86"/>
      <c r="Q35" s="86"/>
      <c r="R35" s="86"/>
      <c r="S35" s="86"/>
    </row>
    <row r="36" spans="13:19">
      <c r="M36" s="86"/>
      <c r="N36" s="86"/>
      <c r="O36" s="86"/>
      <c r="P36" s="86"/>
      <c r="Q36" s="86"/>
      <c r="R36" s="86"/>
      <c r="S36" s="86"/>
    </row>
    <row r="37" spans="13:19">
      <c r="M37" s="86"/>
      <c r="N37" s="86"/>
      <c r="O37" s="86"/>
      <c r="P37" s="86"/>
      <c r="Q37" s="86"/>
      <c r="R37" s="86"/>
      <c r="S37" s="86"/>
    </row>
    <row r="38" spans="13:19">
      <c r="M38" s="86"/>
      <c r="N38" s="86"/>
      <c r="O38" s="86"/>
      <c r="P38" s="86"/>
      <c r="Q38" s="86"/>
      <c r="R38" s="86"/>
      <c r="S38" s="86"/>
    </row>
    <row r="39" spans="13:19">
      <c r="M39" s="86"/>
      <c r="N39" s="86"/>
      <c r="O39" s="86"/>
      <c r="P39" s="86"/>
      <c r="Q39" s="86"/>
      <c r="R39" s="86"/>
      <c r="S39" s="86"/>
    </row>
    <row r="40" spans="13:19">
      <c r="M40" s="86"/>
      <c r="N40" s="86"/>
      <c r="O40" s="86"/>
      <c r="P40" s="86"/>
      <c r="Q40" s="86"/>
      <c r="R40" s="86"/>
      <c r="S40" s="86"/>
    </row>
    <row r="41" spans="13:19">
      <c r="M41" s="86"/>
      <c r="N41" s="86"/>
      <c r="O41" s="86"/>
      <c r="P41" s="86"/>
      <c r="Q41" s="86"/>
      <c r="R41" s="86"/>
      <c r="S41" s="86"/>
    </row>
    <row r="42" spans="13:19">
      <c r="M42" s="86"/>
      <c r="N42" s="86"/>
      <c r="O42" s="86"/>
      <c r="P42" s="86"/>
      <c r="Q42" s="86"/>
      <c r="R42" s="86"/>
      <c r="S42" s="86"/>
    </row>
    <row r="43" spans="13:19">
      <c r="M43" s="86"/>
      <c r="N43" s="86"/>
      <c r="O43" s="86"/>
      <c r="P43" s="86"/>
      <c r="Q43" s="86"/>
      <c r="R43" s="86"/>
      <c r="S43" s="86"/>
    </row>
    <row r="44" spans="13:19">
      <c r="M44" s="86"/>
      <c r="N44" s="86"/>
      <c r="O44" s="86"/>
      <c r="P44" s="86"/>
      <c r="Q44" s="86"/>
      <c r="R44" s="86"/>
      <c r="S44" s="86"/>
    </row>
    <row r="45" spans="13:19">
      <c r="M45" s="86"/>
      <c r="N45" s="86"/>
      <c r="O45" s="86"/>
      <c r="P45" s="86"/>
      <c r="Q45" s="86"/>
      <c r="R45" s="86"/>
      <c r="S45" s="86"/>
    </row>
    <row r="46" spans="13:19">
      <c r="M46" s="86"/>
      <c r="N46" s="86"/>
      <c r="O46" s="86"/>
      <c r="P46" s="86"/>
      <c r="Q46" s="86"/>
      <c r="R46" s="86"/>
      <c r="S46" s="86"/>
    </row>
    <row r="47" spans="13:19">
      <c r="M47" s="86"/>
      <c r="N47" s="86"/>
      <c r="O47" s="86"/>
      <c r="P47" s="86"/>
      <c r="Q47" s="86"/>
      <c r="R47" s="86"/>
      <c r="S47" s="86"/>
    </row>
    <row r="48" spans="13:19">
      <c r="M48" s="86"/>
      <c r="N48" s="86"/>
      <c r="O48" s="86"/>
      <c r="P48" s="86"/>
      <c r="Q48" s="86"/>
      <c r="R48" s="86"/>
      <c r="S48" s="86"/>
    </row>
  </sheetData>
  <autoFilter ref="A10:E10" xr:uid="{00000000-0009-0000-0000-000002000000}"/>
  <mergeCells count="5">
    <mergeCell ref="A2:L2"/>
    <mergeCell ref="F8:L8"/>
    <mergeCell ref="M8:S8"/>
    <mergeCell ref="E4:J4"/>
    <mergeCell ref="E24:E25"/>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S75"/>
  <sheetViews>
    <sheetView tabSelected="1" topLeftCell="A34" workbookViewId="0">
      <selection activeCell="M18" sqref="M18"/>
    </sheetView>
  </sheetViews>
  <sheetFormatPr defaultColWidth="11.42578125" defaultRowHeight="12.75"/>
  <cols>
    <col min="1" max="2" width="9.140625" style="5" bestFit="1" customWidth="1"/>
    <col min="3" max="3" width="49.7109375" style="6" customWidth="1"/>
    <col min="4" max="4" width="19.28515625" style="6" bestFit="1" customWidth="1"/>
    <col min="5" max="5" width="12.7109375" style="4" bestFit="1" customWidth="1"/>
    <col min="6" max="6" width="9.28515625" style="4" bestFit="1" customWidth="1"/>
    <col min="7" max="7" width="10" style="4" bestFit="1" customWidth="1"/>
    <col min="8" max="8" width="9.42578125" style="4" bestFit="1" customWidth="1"/>
    <col min="9" max="9" width="8.42578125" style="4" bestFit="1" customWidth="1"/>
    <col min="10" max="10" width="8.85546875" style="4" bestFit="1" customWidth="1"/>
    <col min="11" max="11" width="9.5703125" style="4" bestFit="1" customWidth="1"/>
    <col min="12" max="12" width="9.85546875" style="4" bestFit="1" customWidth="1"/>
    <col min="13" max="17" width="11.42578125" style="5" customWidth="1"/>
    <col min="18" max="16384" width="11.42578125" style="5"/>
  </cols>
  <sheetData>
    <row r="2" spans="1:19" ht="43.5" customHeight="1">
      <c r="A2" s="90" t="str">
        <f>CONCATENATE("Sprint #",E5, "Tracking Sheet")</f>
        <v>Sprint #2Tracking Sheet</v>
      </c>
      <c r="B2" s="91"/>
      <c r="C2" s="92"/>
      <c r="D2" s="92"/>
      <c r="E2" s="93"/>
      <c r="F2" s="93"/>
      <c r="G2" s="93"/>
      <c r="H2" s="93"/>
      <c r="I2" s="93"/>
      <c r="J2" s="93"/>
      <c r="K2" s="93"/>
      <c r="L2" s="93"/>
      <c r="M2" s="84"/>
      <c r="N2" s="84"/>
      <c r="O2" s="84"/>
      <c r="P2" s="84"/>
      <c r="Q2" s="84"/>
      <c r="R2" s="84"/>
      <c r="S2" s="84"/>
    </row>
    <row r="4" spans="1:19">
      <c r="A4" s="2"/>
      <c r="B4" s="84"/>
      <c r="C4" s="32" t="s">
        <v>15</v>
      </c>
      <c r="D4" s="49"/>
      <c r="E4" s="96" t="s">
        <v>16</v>
      </c>
      <c r="F4" s="102"/>
      <c r="G4" s="102"/>
      <c r="H4" s="102"/>
      <c r="I4" s="102"/>
      <c r="J4" s="103"/>
      <c r="K4" s="86"/>
      <c r="L4" s="86"/>
      <c r="M4" s="84"/>
      <c r="N4" s="84"/>
      <c r="O4" s="84"/>
      <c r="P4" s="84"/>
      <c r="Q4" s="84"/>
      <c r="R4" s="84"/>
      <c r="S4" s="84"/>
    </row>
    <row r="5" spans="1:19">
      <c r="A5" s="84"/>
      <c r="B5" s="84"/>
      <c r="C5" s="11" t="s">
        <v>30</v>
      </c>
      <c r="D5" s="11"/>
      <c r="E5" s="22">
        <v>2</v>
      </c>
      <c r="F5" s="86"/>
      <c r="G5" s="86"/>
      <c r="H5" s="86"/>
      <c r="I5" s="86"/>
      <c r="J5" s="86"/>
      <c r="K5" s="86"/>
      <c r="L5" s="86"/>
      <c r="M5" s="84"/>
      <c r="N5" s="84"/>
      <c r="O5" s="84"/>
      <c r="P5" s="84"/>
      <c r="Q5" s="84"/>
      <c r="R5" s="84"/>
      <c r="S5" s="84"/>
    </row>
    <row r="6" spans="1:19">
      <c r="A6" s="84"/>
      <c r="B6" s="84"/>
      <c r="C6" s="11" t="s">
        <v>59</v>
      </c>
      <c r="D6" s="11"/>
      <c r="E6" s="23">
        <v>46161</v>
      </c>
      <c r="F6" s="86"/>
      <c r="G6" s="86"/>
      <c r="H6" s="86"/>
      <c r="I6" s="86"/>
      <c r="J6" s="86"/>
      <c r="K6" s="86"/>
      <c r="L6" s="86"/>
      <c r="M6" s="84"/>
      <c r="N6" s="84"/>
      <c r="O6" s="84"/>
      <c r="P6" s="84"/>
      <c r="Q6" s="84"/>
      <c r="R6" s="84"/>
      <c r="S6" s="84"/>
    </row>
    <row r="7" spans="1:19" ht="13.5" customHeight="1" thickBot="1">
      <c r="A7" s="84"/>
      <c r="B7" s="84"/>
      <c r="C7" s="3"/>
      <c r="D7" s="11" t="s">
        <v>60</v>
      </c>
      <c r="E7" s="22">
        <v>5</v>
      </c>
      <c r="F7" s="86"/>
      <c r="G7" s="86"/>
      <c r="H7" s="86"/>
      <c r="I7" s="86"/>
      <c r="J7" s="86"/>
      <c r="K7" s="86"/>
      <c r="L7" s="86"/>
      <c r="M7" s="84"/>
      <c r="N7" s="84"/>
      <c r="O7" s="84"/>
      <c r="P7" s="84"/>
      <c r="Q7" s="84"/>
      <c r="R7" s="84"/>
      <c r="S7" s="84"/>
    </row>
    <row r="8" spans="1:19" ht="13.5" customHeight="1" thickBot="1">
      <c r="A8" s="84"/>
      <c r="B8" s="84"/>
      <c r="C8" s="85"/>
      <c r="D8" s="85"/>
      <c r="E8" s="86"/>
      <c r="F8" s="95" t="s">
        <v>61</v>
      </c>
      <c r="G8" s="104"/>
      <c r="H8" s="104"/>
      <c r="I8" s="104"/>
      <c r="J8" s="104"/>
      <c r="K8" s="104"/>
      <c r="L8" s="105"/>
      <c r="M8" s="95" t="s">
        <v>62</v>
      </c>
      <c r="N8" s="104"/>
      <c r="O8" s="104"/>
      <c r="P8" s="104"/>
      <c r="Q8" s="104"/>
      <c r="R8" s="104"/>
      <c r="S8" s="105"/>
    </row>
    <row r="9" spans="1:19" ht="12.75" customHeight="1" thickBot="1">
      <c r="A9" s="84"/>
      <c r="B9" s="84"/>
      <c r="C9" s="85"/>
      <c r="D9" s="85"/>
      <c r="E9" s="86"/>
      <c r="F9" s="54">
        <v>1</v>
      </c>
      <c r="G9" s="55">
        <v>2</v>
      </c>
      <c r="H9" s="54">
        <v>3</v>
      </c>
      <c r="I9" s="55">
        <v>4</v>
      </c>
      <c r="J9" s="54">
        <v>5</v>
      </c>
      <c r="K9" s="55">
        <v>6</v>
      </c>
      <c r="L9" s="54">
        <v>7</v>
      </c>
      <c r="M9" s="55">
        <v>8</v>
      </c>
      <c r="N9" s="54">
        <v>9</v>
      </c>
      <c r="O9" s="55">
        <v>10</v>
      </c>
      <c r="P9" s="54">
        <v>11</v>
      </c>
      <c r="Q9" s="55">
        <v>12</v>
      </c>
      <c r="R9" s="54">
        <v>13</v>
      </c>
      <c r="S9" s="55">
        <v>14</v>
      </c>
    </row>
    <row r="10" spans="1:19" s="3" customFormat="1" ht="27" customHeight="1">
      <c r="A10" s="70" t="s">
        <v>63</v>
      </c>
      <c r="B10" s="71" t="s">
        <v>64</v>
      </c>
      <c r="C10" s="72" t="s">
        <v>27</v>
      </c>
      <c r="D10" s="73" t="s">
        <v>31</v>
      </c>
      <c r="E10" s="74" t="s">
        <v>65</v>
      </c>
      <c r="F10" s="75">
        <f>E6</f>
        <v>46161</v>
      </c>
      <c r="G10" s="76">
        <f t="shared" ref="G10:S10" si="0">F10+1</f>
        <v>46162</v>
      </c>
      <c r="H10" s="76">
        <f t="shared" si="0"/>
        <v>46163</v>
      </c>
      <c r="I10" s="76">
        <f t="shared" si="0"/>
        <v>46164</v>
      </c>
      <c r="J10" s="76">
        <f t="shared" si="0"/>
        <v>46165</v>
      </c>
      <c r="K10" s="76">
        <f t="shared" si="0"/>
        <v>46166</v>
      </c>
      <c r="L10" s="76">
        <f t="shared" si="0"/>
        <v>46167</v>
      </c>
      <c r="M10" s="76">
        <f t="shared" si="0"/>
        <v>46168</v>
      </c>
      <c r="N10" s="76">
        <f t="shared" si="0"/>
        <v>46169</v>
      </c>
      <c r="O10" s="76">
        <f t="shared" si="0"/>
        <v>46170</v>
      </c>
      <c r="P10" s="76">
        <f t="shared" si="0"/>
        <v>46171</v>
      </c>
      <c r="Q10" s="76">
        <f t="shared" si="0"/>
        <v>46172</v>
      </c>
      <c r="R10" s="76">
        <f t="shared" si="0"/>
        <v>46173</v>
      </c>
      <c r="S10" s="76">
        <f t="shared" si="0"/>
        <v>46174</v>
      </c>
    </row>
    <row r="11" spans="1:19" s="31" customFormat="1" ht="84" customHeight="1">
      <c r="A11" s="27" t="s">
        <v>101</v>
      </c>
      <c r="B11" s="28" t="s">
        <v>102</v>
      </c>
      <c r="C11" s="77" t="s">
        <v>103</v>
      </c>
      <c r="D11" s="78" t="s">
        <v>18</v>
      </c>
      <c r="E11" s="64">
        <v>3</v>
      </c>
      <c r="F11" s="30"/>
      <c r="G11" s="30">
        <v>3</v>
      </c>
      <c r="H11" s="30"/>
      <c r="I11" s="30"/>
      <c r="J11" s="28"/>
      <c r="K11" s="28"/>
      <c r="L11" s="28"/>
      <c r="M11" s="30"/>
      <c r="N11" s="30"/>
      <c r="O11" s="30"/>
      <c r="P11" s="30"/>
      <c r="Q11" s="28"/>
      <c r="R11" s="28"/>
      <c r="S11" s="28"/>
    </row>
    <row r="12" spans="1:19" s="31" customFormat="1" ht="84" customHeight="1">
      <c r="A12" s="27" t="s">
        <v>104</v>
      </c>
      <c r="B12" s="28" t="s">
        <v>102</v>
      </c>
      <c r="C12" s="77" t="s">
        <v>105</v>
      </c>
      <c r="D12" s="51" t="s">
        <v>106</v>
      </c>
      <c r="E12" s="64">
        <v>4</v>
      </c>
      <c r="F12" s="30"/>
      <c r="G12" s="30">
        <v>5</v>
      </c>
      <c r="H12" s="30"/>
      <c r="I12" s="30"/>
      <c r="J12" s="28"/>
      <c r="K12" s="28"/>
      <c r="L12" s="28"/>
      <c r="M12" s="30"/>
      <c r="N12" s="30"/>
      <c r="O12" s="30"/>
      <c r="P12" s="30"/>
      <c r="Q12" s="28"/>
      <c r="R12" s="28"/>
      <c r="S12" s="28"/>
    </row>
    <row r="13" spans="1:19" s="31" customFormat="1" ht="72" customHeight="1">
      <c r="A13" s="27" t="s">
        <v>107</v>
      </c>
      <c r="B13" s="28" t="s">
        <v>102</v>
      </c>
      <c r="C13" s="29" t="s">
        <v>108</v>
      </c>
      <c r="D13" s="51" t="s">
        <v>106</v>
      </c>
      <c r="E13" s="64">
        <v>3</v>
      </c>
      <c r="F13" s="30">
        <v>2.5</v>
      </c>
      <c r="G13" s="28"/>
      <c r="H13" s="28"/>
      <c r="I13" s="28"/>
      <c r="J13" s="28"/>
      <c r="K13" s="28"/>
      <c r="L13" s="28"/>
      <c r="M13" s="30"/>
      <c r="N13" s="28"/>
      <c r="O13" s="28"/>
      <c r="P13" s="28"/>
      <c r="Q13" s="28"/>
      <c r="R13" s="28"/>
      <c r="S13" s="28"/>
    </row>
    <row r="14" spans="1:19" s="31" customFormat="1" ht="72" customHeight="1">
      <c r="A14" s="27" t="s">
        <v>109</v>
      </c>
      <c r="B14" s="28" t="s">
        <v>40</v>
      </c>
      <c r="C14" s="77" t="s">
        <v>110</v>
      </c>
      <c r="D14" s="51" t="s">
        <v>106</v>
      </c>
      <c r="E14" s="64">
        <v>3</v>
      </c>
      <c r="F14" s="30">
        <v>2</v>
      </c>
      <c r="G14" s="28"/>
      <c r="H14" s="28"/>
      <c r="I14" s="28"/>
      <c r="J14" s="28"/>
      <c r="K14" s="28"/>
      <c r="L14" s="28"/>
      <c r="M14" s="30"/>
      <c r="N14" s="28"/>
      <c r="O14" s="28"/>
      <c r="P14" s="28"/>
      <c r="Q14" s="28"/>
      <c r="R14" s="28"/>
      <c r="S14" s="28"/>
    </row>
    <row r="15" spans="1:19" s="31" customFormat="1" ht="84" customHeight="1">
      <c r="A15" s="27" t="s">
        <v>111</v>
      </c>
      <c r="B15" s="28" t="s">
        <v>49</v>
      </c>
      <c r="C15" s="77" t="s">
        <v>112</v>
      </c>
      <c r="D15" s="51" t="s">
        <v>106</v>
      </c>
      <c r="E15" s="64">
        <v>4</v>
      </c>
      <c r="F15" s="30"/>
      <c r="G15" s="28"/>
      <c r="H15" s="28"/>
      <c r="I15" s="28"/>
      <c r="J15" s="28"/>
      <c r="K15" s="28"/>
      <c r="L15" s="28"/>
      <c r="M15" s="30"/>
      <c r="N15" s="28"/>
      <c r="O15" s="28"/>
      <c r="P15" s="28"/>
      <c r="Q15" s="28"/>
      <c r="R15" s="28"/>
      <c r="S15" s="28"/>
    </row>
    <row r="16" spans="1:19" s="31" customFormat="1" ht="72" customHeight="1">
      <c r="A16" s="27" t="s">
        <v>113</v>
      </c>
      <c r="B16" s="28" t="s">
        <v>113</v>
      </c>
      <c r="C16" s="77" t="s">
        <v>114</v>
      </c>
      <c r="D16" s="78" t="s">
        <v>18</v>
      </c>
      <c r="E16" s="64">
        <v>3</v>
      </c>
      <c r="F16" s="30"/>
      <c r="G16" s="28"/>
      <c r="H16" s="28"/>
      <c r="I16" s="28"/>
      <c r="J16" s="28"/>
      <c r="K16" s="28"/>
      <c r="L16" s="28"/>
      <c r="M16" s="30"/>
      <c r="N16" s="28"/>
      <c r="O16" s="28"/>
      <c r="P16" s="28"/>
      <c r="Q16" s="28"/>
      <c r="R16" s="28"/>
      <c r="S16" s="28"/>
    </row>
    <row r="17" spans="1:19" s="8" customFormat="1" ht="42.75" customHeight="1">
      <c r="A17" s="27" t="s">
        <v>115</v>
      </c>
      <c r="B17" s="28" t="s">
        <v>116</v>
      </c>
      <c r="C17" s="79" t="s">
        <v>117</v>
      </c>
      <c r="D17" s="80" t="s">
        <v>18</v>
      </c>
      <c r="E17" s="64">
        <v>1.5</v>
      </c>
      <c r="F17" s="30"/>
      <c r="G17" s="24"/>
      <c r="H17" s="24"/>
      <c r="I17" s="24">
        <v>1.5</v>
      </c>
      <c r="J17" s="24"/>
      <c r="K17" s="24"/>
      <c r="L17" s="24"/>
      <c r="M17" s="30"/>
      <c r="N17" s="24"/>
      <c r="O17" s="24"/>
      <c r="P17" s="24"/>
      <c r="Q17" s="24"/>
      <c r="R17" s="24"/>
      <c r="S17" s="24"/>
    </row>
    <row r="18" spans="1:19" s="8" customFormat="1" ht="30" customHeight="1">
      <c r="A18" s="56" t="s">
        <v>118</v>
      </c>
      <c r="B18" s="69" t="s">
        <v>116</v>
      </c>
      <c r="C18" s="81" t="s">
        <v>119</v>
      </c>
      <c r="D18" s="81" t="s">
        <v>18</v>
      </c>
      <c r="E18" s="65">
        <v>2</v>
      </c>
      <c r="F18" s="56"/>
      <c r="G18" s="25"/>
      <c r="H18" s="25"/>
      <c r="I18" s="25">
        <v>2</v>
      </c>
      <c r="J18" s="25"/>
      <c r="K18" s="25"/>
      <c r="L18" s="25"/>
      <c r="M18" s="56"/>
      <c r="N18" s="25"/>
      <c r="O18" s="25"/>
      <c r="P18" s="25"/>
      <c r="Q18" s="25"/>
      <c r="R18" s="25"/>
      <c r="S18" s="25"/>
    </row>
    <row r="19" spans="1:19">
      <c r="A19" s="2" t="s">
        <v>120</v>
      </c>
      <c r="B19" s="2" t="s">
        <v>116</v>
      </c>
      <c r="C19" s="82" t="s">
        <v>121</v>
      </c>
      <c r="D19" s="2" t="s">
        <v>18</v>
      </c>
      <c r="E19" s="2">
        <v>1</v>
      </c>
      <c r="F19" s="86"/>
      <c r="G19" s="86"/>
      <c r="H19" s="86"/>
      <c r="I19" s="86">
        <v>1</v>
      </c>
      <c r="J19" s="86"/>
      <c r="K19" s="86"/>
      <c r="L19" s="86"/>
      <c r="M19" s="86"/>
      <c r="N19" s="86"/>
      <c r="O19" s="86"/>
      <c r="P19" s="86"/>
      <c r="Q19" s="86"/>
      <c r="R19" s="86"/>
      <c r="S19" s="86"/>
    </row>
    <row r="20" spans="1:19">
      <c r="A20" s="2" t="s">
        <v>122</v>
      </c>
      <c r="B20" s="2" t="s">
        <v>32</v>
      </c>
      <c r="C20" s="83" t="s">
        <v>123</v>
      </c>
      <c r="D20" s="2" t="s">
        <v>24</v>
      </c>
      <c r="E20" s="2">
        <v>2</v>
      </c>
      <c r="F20" s="86">
        <v>0.25</v>
      </c>
      <c r="G20" s="86">
        <v>0</v>
      </c>
      <c r="H20" s="86">
        <v>0.25</v>
      </c>
      <c r="I20" s="86">
        <v>0</v>
      </c>
      <c r="J20" s="86">
        <v>0.5</v>
      </c>
      <c r="K20" s="86">
        <v>0.25</v>
      </c>
      <c r="L20" s="86"/>
      <c r="M20" s="86"/>
      <c r="N20" s="86"/>
      <c r="O20" s="86"/>
      <c r="P20" s="86"/>
      <c r="Q20" s="86"/>
      <c r="R20" s="86"/>
      <c r="S20" s="86"/>
    </row>
    <row r="21" spans="1:19">
      <c r="A21" s="2" t="s">
        <v>124</v>
      </c>
      <c r="B21" s="2" t="s">
        <v>32</v>
      </c>
      <c r="C21" s="83" t="s">
        <v>125</v>
      </c>
      <c r="D21" s="2" t="s">
        <v>24</v>
      </c>
      <c r="E21" s="2">
        <v>2</v>
      </c>
      <c r="F21" s="86">
        <v>0.25</v>
      </c>
      <c r="G21" s="86">
        <v>0</v>
      </c>
      <c r="H21" s="86">
        <v>0.25</v>
      </c>
      <c r="I21" s="86">
        <v>0</v>
      </c>
      <c r="J21" s="86">
        <v>0.5</v>
      </c>
      <c r="K21" s="86">
        <v>0.25</v>
      </c>
      <c r="L21" s="86"/>
      <c r="M21" s="86"/>
      <c r="N21" s="86"/>
      <c r="O21" s="86"/>
      <c r="P21" s="86"/>
      <c r="Q21" s="86"/>
      <c r="R21" s="86"/>
      <c r="S21" s="86"/>
    </row>
    <row r="22" spans="1:19">
      <c r="A22" s="2" t="s">
        <v>126</v>
      </c>
      <c r="B22" s="2" t="s">
        <v>32</v>
      </c>
      <c r="C22" s="83" t="s">
        <v>127</v>
      </c>
      <c r="D22" s="2" t="s">
        <v>24</v>
      </c>
      <c r="E22" s="2">
        <v>2</v>
      </c>
      <c r="F22" s="86">
        <v>0.25</v>
      </c>
      <c r="G22" s="86">
        <v>0</v>
      </c>
      <c r="H22" s="86">
        <v>0.25</v>
      </c>
      <c r="I22" s="86">
        <v>0</v>
      </c>
      <c r="J22" s="86">
        <v>0.5</v>
      </c>
      <c r="K22" s="86">
        <v>0.25</v>
      </c>
      <c r="L22" s="86"/>
      <c r="M22" s="86"/>
      <c r="N22" s="86"/>
      <c r="O22" s="86"/>
      <c r="P22" s="86"/>
      <c r="Q22" s="86"/>
      <c r="R22" s="86"/>
      <c r="S22" s="86"/>
    </row>
    <row r="23" spans="1:19">
      <c r="A23" s="2" t="s">
        <v>128</v>
      </c>
      <c r="B23" s="2" t="s">
        <v>32</v>
      </c>
      <c r="C23" s="83" t="s">
        <v>129</v>
      </c>
      <c r="D23" s="2" t="s">
        <v>24</v>
      </c>
      <c r="E23" s="2">
        <v>1</v>
      </c>
      <c r="F23" s="86">
        <v>0.25</v>
      </c>
      <c r="G23" s="86">
        <v>0</v>
      </c>
      <c r="H23" s="86">
        <v>0.25</v>
      </c>
      <c r="I23" s="86">
        <v>0</v>
      </c>
      <c r="J23" s="86">
        <v>0.5</v>
      </c>
      <c r="K23" s="86">
        <v>0.25</v>
      </c>
      <c r="L23" s="86"/>
      <c r="M23" s="86"/>
      <c r="N23" s="86"/>
      <c r="O23" s="86"/>
      <c r="P23" s="86"/>
      <c r="Q23" s="86"/>
      <c r="R23" s="86"/>
      <c r="S23" s="86"/>
    </row>
    <row r="24" spans="1:19">
      <c r="A24" s="2" t="s">
        <v>130</v>
      </c>
      <c r="B24" s="2" t="s">
        <v>32</v>
      </c>
      <c r="C24" s="83" t="s">
        <v>131</v>
      </c>
      <c r="D24" s="2" t="s">
        <v>24</v>
      </c>
      <c r="E24" s="2">
        <v>2</v>
      </c>
      <c r="F24" s="86">
        <v>0.25</v>
      </c>
      <c r="G24" s="86">
        <v>0</v>
      </c>
      <c r="H24" s="86">
        <v>0.25</v>
      </c>
      <c r="I24" s="86">
        <v>0</v>
      </c>
      <c r="J24" s="86">
        <v>0.5</v>
      </c>
      <c r="K24" s="86">
        <v>0.25</v>
      </c>
      <c r="L24" s="86"/>
      <c r="M24" s="86"/>
      <c r="N24" s="86"/>
      <c r="O24" s="86"/>
      <c r="P24" s="86"/>
      <c r="Q24" s="86"/>
      <c r="R24" s="86"/>
      <c r="S24" s="86"/>
    </row>
    <row r="25" spans="1:19">
      <c r="A25" s="2" t="s">
        <v>132</v>
      </c>
      <c r="B25" s="2" t="s">
        <v>32</v>
      </c>
      <c r="C25" s="83" t="s">
        <v>133</v>
      </c>
      <c r="D25" s="2" t="s">
        <v>24</v>
      </c>
      <c r="E25" s="2">
        <v>1</v>
      </c>
      <c r="F25" s="86">
        <v>0.25</v>
      </c>
      <c r="G25" s="86">
        <v>0</v>
      </c>
      <c r="H25" s="86">
        <v>0.25</v>
      </c>
      <c r="I25" s="86">
        <v>0</v>
      </c>
      <c r="J25" s="86">
        <v>0.5</v>
      </c>
      <c r="K25" s="86">
        <v>0.25</v>
      </c>
      <c r="L25" s="86"/>
      <c r="M25" s="86"/>
      <c r="N25" s="86"/>
      <c r="O25" s="86"/>
      <c r="P25" s="86"/>
      <c r="Q25" s="86"/>
      <c r="R25" s="86"/>
      <c r="S25" s="86"/>
    </row>
    <row r="26" spans="1:19" ht="25.5">
      <c r="A26" s="2" t="s">
        <v>134</v>
      </c>
      <c r="B26" t="s">
        <v>32</v>
      </c>
      <c r="C26" s="83" t="s">
        <v>135</v>
      </c>
      <c r="D26" s="2" t="s">
        <v>24</v>
      </c>
      <c r="E26" s="2">
        <v>1</v>
      </c>
      <c r="F26" s="86">
        <v>0.25</v>
      </c>
      <c r="G26" s="86">
        <v>0</v>
      </c>
      <c r="H26" s="86">
        <v>0.25</v>
      </c>
      <c r="I26" s="86">
        <v>0</v>
      </c>
      <c r="J26" s="86">
        <v>0.5</v>
      </c>
      <c r="K26" s="86">
        <v>0.25</v>
      </c>
      <c r="L26" s="86"/>
      <c r="M26" s="86"/>
      <c r="N26" s="86"/>
      <c r="O26" s="86"/>
      <c r="P26" s="86"/>
      <c r="Q26" s="86"/>
      <c r="R26" s="86"/>
      <c r="S26" s="86"/>
    </row>
    <row r="27" spans="1:19">
      <c r="A27" s="2" t="s">
        <v>136</v>
      </c>
      <c r="B27" s="2" t="s">
        <v>32</v>
      </c>
      <c r="C27" s="83" t="s">
        <v>137</v>
      </c>
      <c r="D27" s="2" t="s">
        <v>24</v>
      </c>
      <c r="E27" s="2">
        <v>2</v>
      </c>
      <c r="F27" s="86">
        <v>0.25</v>
      </c>
      <c r="G27" s="86">
        <v>0</v>
      </c>
      <c r="H27" s="86">
        <v>0.25</v>
      </c>
      <c r="I27" s="86">
        <v>0</v>
      </c>
      <c r="J27" s="86">
        <v>0.5</v>
      </c>
      <c r="K27" s="86">
        <v>0.25</v>
      </c>
      <c r="L27" s="86"/>
      <c r="M27" s="86"/>
      <c r="N27" s="86"/>
      <c r="O27" s="86"/>
      <c r="P27" s="86"/>
      <c r="Q27" s="86"/>
      <c r="R27" s="86"/>
      <c r="S27" s="86"/>
    </row>
    <row r="28" spans="1:19">
      <c r="A28" s="2" t="s">
        <v>138</v>
      </c>
      <c r="B28" s="2" t="s">
        <v>40</v>
      </c>
      <c r="C28" s="83" t="s">
        <v>139</v>
      </c>
      <c r="D28" s="2" t="s">
        <v>24</v>
      </c>
      <c r="E28" s="2">
        <v>1</v>
      </c>
      <c r="F28" s="86">
        <v>0.25</v>
      </c>
      <c r="G28" s="86">
        <v>0</v>
      </c>
      <c r="H28" s="86">
        <v>0.5</v>
      </c>
      <c r="I28" s="86">
        <v>0</v>
      </c>
      <c r="J28" s="86">
        <v>0.5</v>
      </c>
      <c r="K28" s="86">
        <v>0.25</v>
      </c>
      <c r="L28" s="86"/>
      <c r="M28" s="86"/>
      <c r="N28" s="86"/>
      <c r="O28" s="86"/>
      <c r="P28" s="86"/>
      <c r="Q28" s="86"/>
      <c r="R28" s="86"/>
      <c r="S28" s="86"/>
    </row>
    <row r="29" spans="1:19">
      <c r="A29" s="2" t="s">
        <v>140</v>
      </c>
      <c r="B29" s="2" t="s">
        <v>40</v>
      </c>
      <c r="C29" s="83" t="s">
        <v>141</v>
      </c>
      <c r="D29" s="2" t="s">
        <v>24</v>
      </c>
      <c r="E29" s="2">
        <v>1</v>
      </c>
      <c r="F29" s="86">
        <v>0.25</v>
      </c>
      <c r="G29" s="86">
        <v>0</v>
      </c>
      <c r="H29" s="86">
        <v>0.5</v>
      </c>
      <c r="I29" s="86">
        <v>0</v>
      </c>
      <c r="J29" s="86">
        <v>0.5</v>
      </c>
      <c r="K29" s="86">
        <v>0.25</v>
      </c>
      <c r="L29" s="86"/>
      <c r="M29" s="86"/>
      <c r="N29" s="86"/>
      <c r="O29" s="86"/>
      <c r="P29" s="86"/>
      <c r="Q29" s="86"/>
      <c r="R29" s="86"/>
      <c r="S29" s="86"/>
    </row>
    <row r="30" spans="1:19">
      <c r="A30" s="2" t="s">
        <v>142</v>
      </c>
      <c r="B30" s="2" t="s">
        <v>32</v>
      </c>
      <c r="C30" s="83" t="s">
        <v>143</v>
      </c>
      <c r="D30" s="2" t="s">
        <v>24</v>
      </c>
      <c r="E30" s="2">
        <v>2</v>
      </c>
      <c r="F30" s="86">
        <v>1</v>
      </c>
      <c r="G30" s="86">
        <v>0</v>
      </c>
      <c r="H30" s="86">
        <v>0.5</v>
      </c>
      <c r="I30" s="86">
        <v>0</v>
      </c>
      <c r="J30" s="86">
        <v>2</v>
      </c>
      <c r="K30" s="86">
        <v>1</v>
      </c>
      <c r="L30" s="86"/>
      <c r="M30" s="86"/>
      <c r="N30" s="86"/>
      <c r="O30" s="86"/>
      <c r="P30" s="86"/>
      <c r="Q30" s="86"/>
      <c r="R30" s="86"/>
      <c r="S30" s="86"/>
    </row>
    <row r="31" spans="1:19" ht="38.25">
      <c r="A31" s="2" t="s">
        <v>144</v>
      </c>
      <c r="B31" s="2" t="s">
        <v>32</v>
      </c>
      <c r="C31" s="1" t="s">
        <v>145</v>
      </c>
      <c r="D31" s="87" t="s">
        <v>22</v>
      </c>
      <c r="E31" s="86">
        <v>3</v>
      </c>
      <c r="F31" s="86">
        <v>1</v>
      </c>
      <c r="G31" s="86">
        <v>2</v>
      </c>
      <c r="H31" s="86">
        <v>0</v>
      </c>
      <c r="I31" s="86">
        <v>0</v>
      </c>
      <c r="J31" s="86">
        <v>0</v>
      </c>
      <c r="K31" s="86">
        <v>0</v>
      </c>
      <c r="L31" s="86"/>
      <c r="M31" s="86"/>
      <c r="N31" s="86"/>
      <c r="O31" s="86"/>
      <c r="P31" s="86"/>
      <c r="Q31" s="86"/>
      <c r="R31" s="86"/>
      <c r="S31" s="86"/>
    </row>
    <row r="32" spans="1:19" ht="25.5">
      <c r="A32" s="2" t="s">
        <v>146</v>
      </c>
      <c r="B32" s="2" t="s">
        <v>32</v>
      </c>
      <c r="C32" s="1" t="s">
        <v>147</v>
      </c>
      <c r="D32" s="87" t="s">
        <v>22</v>
      </c>
      <c r="E32" s="86">
        <v>3</v>
      </c>
      <c r="F32" s="86">
        <v>0</v>
      </c>
      <c r="G32" s="86">
        <v>1</v>
      </c>
      <c r="H32" s="86">
        <v>1</v>
      </c>
      <c r="I32" s="86">
        <v>0</v>
      </c>
      <c r="J32" s="86">
        <v>0</v>
      </c>
      <c r="K32" s="86">
        <v>0</v>
      </c>
      <c r="L32" s="86"/>
      <c r="M32" s="86"/>
      <c r="N32" s="86"/>
      <c r="O32" s="86"/>
      <c r="P32" s="86"/>
      <c r="Q32" s="86"/>
      <c r="R32" s="86"/>
      <c r="S32" s="86"/>
    </row>
    <row r="33" spans="1:19" ht="27" customHeight="1">
      <c r="A33" s="2" t="s">
        <v>148</v>
      </c>
      <c r="B33" s="2" t="s">
        <v>32</v>
      </c>
      <c r="C33" s="1" t="s">
        <v>149</v>
      </c>
      <c r="D33" s="87" t="s">
        <v>22</v>
      </c>
      <c r="E33" s="86">
        <v>2</v>
      </c>
      <c r="F33" s="86">
        <v>0</v>
      </c>
      <c r="G33" s="86">
        <v>0</v>
      </c>
      <c r="H33" s="86">
        <v>1</v>
      </c>
      <c r="I33" s="86">
        <v>1</v>
      </c>
      <c r="J33" s="86">
        <v>0</v>
      </c>
      <c r="K33" s="86">
        <v>0</v>
      </c>
      <c r="L33" s="86"/>
      <c r="M33" s="86"/>
      <c r="N33" s="86"/>
      <c r="O33" s="86"/>
      <c r="P33" s="86"/>
      <c r="Q33" s="86"/>
      <c r="R33" s="86"/>
      <c r="S33" s="86"/>
    </row>
    <row r="34" spans="1:19" ht="25.5">
      <c r="A34" s="2" t="s">
        <v>150</v>
      </c>
      <c r="B34" s="2" t="s">
        <v>32</v>
      </c>
      <c r="C34" s="1" t="s">
        <v>151</v>
      </c>
      <c r="D34" s="87" t="s">
        <v>22</v>
      </c>
      <c r="E34" s="86">
        <v>4</v>
      </c>
      <c r="F34" s="86">
        <v>0</v>
      </c>
      <c r="G34" s="86">
        <v>0</v>
      </c>
      <c r="H34" s="86">
        <v>1</v>
      </c>
      <c r="I34" s="86">
        <v>1</v>
      </c>
      <c r="J34" s="86">
        <v>1</v>
      </c>
      <c r="K34" s="86">
        <v>0</v>
      </c>
      <c r="L34" s="86"/>
      <c r="M34" s="86"/>
      <c r="N34" s="86"/>
      <c r="O34" s="86"/>
      <c r="P34" s="86"/>
      <c r="Q34" s="86"/>
      <c r="R34" s="86"/>
      <c r="S34" s="86"/>
    </row>
    <row r="35" spans="1:19" ht="25.5">
      <c r="A35" s="2" t="s">
        <v>152</v>
      </c>
      <c r="B35" s="2" t="s">
        <v>32</v>
      </c>
      <c r="C35" s="1" t="s">
        <v>153</v>
      </c>
      <c r="D35" s="87" t="s">
        <v>22</v>
      </c>
      <c r="E35" s="86">
        <v>2</v>
      </c>
      <c r="F35" s="86">
        <v>0</v>
      </c>
      <c r="G35" s="86">
        <v>0</v>
      </c>
      <c r="H35" s="86">
        <v>0</v>
      </c>
      <c r="I35" s="86">
        <v>1</v>
      </c>
      <c r="J35" s="86">
        <v>1</v>
      </c>
      <c r="K35" s="86">
        <v>0</v>
      </c>
      <c r="L35" s="86"/>
      <c r="M35" s="86"/>
      <c r="N35" s="86"/>
      <c r="O35" s="86"/>
      <c r="P35" s="86"/>
      <c r="Q35" s="86"/>
      <c r="R35" s="86"/>
      <c r="S35" s="86"/>
    </row>
    <row r="36" spans="1:19" ht="25.5">
      <c r="A36" s="2" t="s">
        <v>154</v>
      </c>
      <c r="B36" s="2" t="s">
        <v>32</v>
      </c>
      <c r="C36" s="1" t="s">
        <v>155</v>
      </c>
      <c r="D36" s="87" t="s">
        <v>22</v>
      </c>
      <c r="E36" s="86">
        <v>3</v>
      </c>
      <c r="F36" s="86">
        <v>0</v>
      </c>
      <c r="G36" s="86">
        <v>0</v>
      </c>
      <c r="H36" s="86">
        <v>0</v>
      </c>
      <c r="I36" s="86">
        <v>0</v>
      </c>
      <c r="J36" s="86">
        <v>1</v>
      </c>
      <c r="K36" s="86">
        <v>1</v>
      </c>
      <c r="L36" s="86"/>
      <c r="M36" s="86"/>
      <c r="N36" s="86"/>
      <c r="O36" s="86"/>
      <c r="P36" s="86"/>
      <c r="Q36" s="86"/>
      <c r="R36" s="86"/>
      <c r="S36" s="86"/>
    </row>
    <row r="37" spans="1:19" ht="25.5">
      <c r="A37" s="2" t="s">
        <v>156</v>
      </c>
      <c r="B37" s="2" t="s">
        <v>40</v>
      </c>
      <c r="C37" s="1" t="s">
        <v>157</v>
      </c>
      <c r="D37" s="87" t="s">
        <v>22</v>
      </c>
      <c r="E37" s="86">
        <v>2</v>
      </c>
      <c r="F37" s="86">
        <v>0</v>
      </c>
      <c r="G37" s="86">
        <v>0</v>
      </c>
      <c r="H37" s="86">
        <v>0</v>
      </c>
      <c r="I37" s="86">
        <v>0</v>
      </c>
      <c r="J37" s="86">
        <v>0</v>
      </c>
      <c r="K37" s="86">
        <v>1</v>
      </c>
      <c r="L37" s="86"/>
      <c r="M37" s="86"/>
      <c r="N37" s="86"/>
      <c r="O37" s="86"/>
      <c r="P37" s="86"/>
      <c r="Q37" s="86"/>
      <c r="R37" s="86"/>
      <c r="S37" s="86"/>
    </row>
    <row r="38" spans="1:19" ht="25.5">
      <c r="A38" s="2" t="s">
        <v>158</v>
      </c>
      <c r="B38" s="2" t="s">
        <v>32</v>
      </c>
      <c r="C38" s="1" t="s">
        <v>159</v>
      </c>
      <c r="D38" s="87" t="s">
        <v>22</v>
      </c>
      <c r="E38" s="86">
        <v>1</v>
      </c>
      <c r="F38" s="86">
        <v>0</v>
      </c>
      <c r="G38" s="86">
        <v>0</v>
      </c>
      <c r="H38" s="86">
        <v>0</v>
      </c>
      <c r="I38" s="86">
        <v>0</v>
      </c>
      <c r="J38" s="86">
        <v>1</v>
      </c>
      <c r="K38" s="86">
        <v>0</v>
      </c>
      <c r="L38" s="86"/>
      <c r="M38" s="86"/>
      <c r="N38" s="86"/>
      <c r="O38" s="86"/>
      <c r="P38" s="86"/>
      <c r="Q38" s="86"/>
      <c r="R38" s="86"/>
      <c r="S38" s="86"/>
    </row>
    <row r="39" spans="1:19">
      <c r="A39" s="87" t="s">
        <v>160</v>
      </c>
      <c r="B39" s="2" t="s">
        <v>116</v>
      </c>
      <c r="C39" s="83" t="s">
        <v>161</v>
      </c>
      <c r="D39" s="2" t="s">
        <v>20</v>
      </c>
      <c r="E39" s="2">
        <v>2</v>
      </c>
      <c r="F39" s="86">
        <v>0</v>
      </c>
      <c r="G39" s="86">
        <v>0</v>
      </c>
      <c r="H39" s="86">
        <v>1</v>
      </c>
      <c r="I39" s="86">
        <v>0</v>
      </c>
      <c r="J39" s="86">
        <v>2</v>
      </c>
      <c r="K39" s="86">
        <v>1</v>
      </c>
      <c r="L39" s="86"/>
      <c r="M39" s="86"/>
      <c r="N39" s="86"/>
      <c r="O39" s="86"/>
      <c r="P39" s="86"/>
      <c r="Q39" s="86"/>
      <c r="R39" s="86"/>
      <c r="S39" s="86"/>
    </row>
    <row r="40" spans="1:19" ht="13.5" customHeight="1">
      <c r="A40" s="87" t="s">
        <v>162</v>
      </c>
      <c r="B40" s="2" t="s">
        <v>116</v>
      </c>
      <c r="C40" s="83" t="s">
        <v>163</v>
      </c>
      <c r="D40" s="2" t="s">
        <v>20</v>
      </c>
      <c r="E40" s="2">
        <v>2</v>
      </c>
      <c r="F40" s="86">
        <v>0</v>
      </c>
      <c r="G40" s="86">
        <v>1</v>
      </c>
      <c r="H40" s="86">
        <v>0</v>
      </c>
      <c r="I40" s="86">
        <v>0</v>
      </c>
      <c r="J40" s="86">
        <v>1</v>
      </c>
      <c r="K40" s="86">
        <v>2</v>
      </c>
      <c r="L40" s="86"/>
      <c r="M40" s="86"/>
      <c r="N40" s="86"/>
      <c r="O40" s="86"/>
      <c r="P40" s="86"/>
      <c r="Q40" s="86"/>
      <c r="R40" s="86"/>
      <c r="S40" s="86"/>
    </row>
    <row r="41" spans="1:19" ht="13.5" customHeight="1">
      <c r="A41" s="2"/>
      <c r="B41" s="2"/>
      <c r="C41" s="85"/>
      <c r="D41" s="85"/>
      <c r="E41" s="86"/>
      <c r="F41" s="86"/>
      <c r="G41" s="86"/>
      <c r="H41" s="86"/>
      <c r="I41" s="86"/>
      <c r="J41" s="86"/>
      <c r="K41" s="86"/>
      <c r="L41" s="86"/>
      <c r="M41" s="86"/>
      <c r="N41" s="86"/>
      <c r="O41" s="86"/>
      <c r="P41" s="86"/>
      <c r="Q41" s="86"/>
      <c r="R41" s="86"/>
      <c r="S41" s="86"/>
    </row>
    <row r="42" spans="1:19" ht="13.5" customHeight="1">
      <c r="A42" s="2"/>
      <c r="B42" s="2"/>
      <c r="C42" s="85"/>
      <c r="D42" s="85"/>
      <c r="E42" s="86"/>
      <c r="F42" s="86"/>
      <c r="G42" s="86"/>
      <c r="H42" s="86"/>
      <c r="I42" s="86"/>
      <c r="J42" s="86"/>
      <c r="K42" s="86"/>
      <c r="L42" s="86"/>
      <c r="M42" s="86"/>
      <c r="N42" s="86"/>
      <c r="O42" s="86"/>
      <c r="P42" s="86"/>
      <c r="Q42" s="86"/>
      <c r="R42" s="86"/>
      <c r="S42" s="86"/>
    </row>
    <row r="43" spans="1:19" ht="13.5" customHeight="1">
      <c r="A43" s="2"/>
      <c r="B43" s="2"/>
      <c r="C43" s="85"/>
      <c r="D43" s="85"/>
      <c r="E43" s="86"/>
      <c r="F43" s="86"/>
      <c r="G43" s="86"/>
      <c r="H43" s="86"/>
      <c r="I43" s="86"/>
      <c r="J43" s="86"/>
      <c r="K43" s="86"/>
      <c r="L43" s="86"/>
      <c r="M43" s="86"/>
      <c r="N43" s="86"/>
      <c r="O43" s="86"/>
      <c r="P43" s="86"/>
      <c r="Q43" s="86"/>
      <c r="R43" s="86"/>
      <c r="S43" s="86"/>
    </row>
    <row r="44" spans="1:19" ht="13.5" customHeight="1">
      <c r="A44" s="2"/>
      <c r="B44" s="2"/>
      <c r="C44" s="85"/>
      <c r="D44" s="85"/>
      <c r="E44" s="86"/>
      <c r="F44" s="86"/>
      <c r="G44" s="86"/>
      <c r="H44" s="86"/>
      <c r="I44" s="86"/>
      <c r="J44" s="86"/>
      <c r="K44" s="86"/>
      <c r="L44" s="86"/>
      <c r="M44" s="86"/>
      <c r="N44" s="86"/>
      <c r="O44" s="86"/>
      <c r="P44" s="86"/>
      <c r="Q44" s="86"/>
      <c r="R44" s="86"/>
      <c r="S44" s="86"/>
    </row>
    <row r="45" spans="1:19" ht="13.5" customHeight="1">
      <c r="A45" s="2"/>
      <c r="B45" s="2"/>
      <c r="C45" s="85"/>
      <c r="D45" s="85"/>
      <c r="E45" s="86"/>
      <c r="F45" s="86"/>
      <c r="G45" s="86"/>
      <c r="H45" s="86"/>
      <c r="I45" s="86"/>
      <c r="J45" s="86"/>
      <c r="K45" s="86"/>
      <c r="L45" s="86"/>
      <c r="M45" s="86"/>
      <c r="N45" s="86"/>
      <c r="O45" s="86"/>
      <c r="P45" s="86"/>
      <c r="Q45" s="86"/>
      <c r="R45" s="86"/>
      <c r="S45" s="86"/>
    </row>
    <row r="46" spans="1:19" ht="13.5" customHeight="1">
      <c r="A46" s="2"/>
      <c r="B46" s="2"/>
      <c r="C46" s="85"/>
      <c r="D46" s="85"/>
      <c r="E46" s="86"/>
      <c r="F46" s="86"/>
      <c r="G46" s="86"/>
      <c r="H46" s="86"/>
      <c r="I46" s="86"/>
      <c r="J46" s="86"/>
      <c r="K46" s="86"/>
      <c r="L46" s="86"/>
      <c r="M46" s="86"/>
      <c r="N46" s="86"/>
      <c r="O46" s="86"/>
      <c r="P46" s="86"/>
      <c r="Q46" s="86"/>
      <c r="R46" s="86"/>
      <c r="S46" s="86"/>
    </row>
    <row r="47" spans="1:19" ht="13.5" customHeight="1">
      <c r="A47" s="2"/>
      <c r="B47" s="2"/>
      <c r="C47" s="85"/>
      <c r="D47" s="85"/>
      <c r="E47" s="86"/>
      <c r="F47" s="86"/>
      <c r="G47" s="86"/>
      <c r="H47" s="86"/>
      <c r="I47" s="86"/>
      <c r="J47" s="86"/>
      <c r="K47" s="86"/>
      <c r="L47" s="86"/>
      <c r="M47" s="86"/>
      <c r="N47" s="86"/>
      <c r="O47" s="86"/>
      <c r="P47" s="86"/>
      <c r="Q47" s="86"/>
      <c r="R47" s="86"/>
      <c r="S47" s="86"/>
    </row>
    <row r="48" spans="1:19" ht="13.5" customHeight="1">
      <c r="A48" s="2"/>
      <c r="B48" s="2"/>
      <c r="C48" s="85"/>
      <c r="D48" s="85"/>
      <c r="E48" s="86"/>
      <c r="F48" s="86"/>
      <c r="G48" s="86"/>
      <c r="H48" s="86"/>
      <c r="I48" s="86"/>
      <c r="J48" s="86"/>
      <c r="K48" s="86"/>
      <c r="L48" s="86"/>
      <c r="M48" s="86"/>
      <c r="N48" s="86"/>
      <c r="O48" s="86"/>
      <c r="P48" s="86"/>
      <c r="Q48" s="86"/>
      <c r="R48" s="86"/>
      <c r="S48" s="86"/>
    </row>
    <row r="49" spans="1:19" ht="13.5" customHeight="1">
      <c r="A49" s="2"/>
      <c r="B49" s="2"/>
      <c r="C49" s="85"/>
      <c r="D49" s="85"/>
      <c r="E49" s="86"/>
      <c r="F49" s="86"/>
      <c r="G49" s="86"/>
      <c r="H49" s="86"/>
      <c r="I49" s="86"/>
      <c r="J49" s="86"/>
      <c r="K49" s="86"/>
      <c r="L49" s="86"/>
      <c r="M49" s="86"/>
      <c r="N49" s="86"/>
      <c r="O49" s="86"/>
      <c r="P49" s="86"/>
      <c r="Q49" s="86"/>
      <c r="R49" s="86"/>
      <c r="S49" s="86"/>
    </row>
    <row r="50" spans="1:19" ht="13.5" customHeight="1">
      <c r="A50" s="2"/>
      <c r="B50" s="2"/>
      <c r="C50" s="85"/>
      <c r="D50" s="85"/>
      <c r="E50" s="86"/>
      <c r="F50" s="86"/>
      <c r="G50" s="86"/>
      <c r="H50" s="86"/>
      <c r="I50" s="86"/>
      <c r="J50" s="86"/>
      <c r="K50" s="86"/>
      <c r="L50" s="86"/>
      <c r="M50" s="86"/>
      <c r="N50" s="86"/>
      <c r="O50" s="86"/>
      <c r="P50" s="86"/>
      <c r="Q50" s="86"/>
      <c r="R50" s="86"/>
      <c r="S50" s="86"/>
    </row>
    <row r="51" spans="1:19">
      <c r="A51" s="84"/>
      <c r="B51" s="84"/>
      <c r="C51" s="12" t="s">
        <v>99</v>
      </c>
      <c r="D51" s="52"/>
      <c r="E51" s="94">
        <f>8*2*E7</f>
        <v>80</v>
      </c>
      <c r="F51" s="9">
        <f>IF(SUM(F11:F34)&gt;0,$E$51-SUM($F$11:F34),NA())</f>
        <v>71</v>
      </c>
      <c r="G51" s="9">
        <f>IF(SUM(G11:G34)&gt;0,$E$51-SUM($F$11:G34),NA())</f>
        <v>60</v>
      </c>
      <c r="H51" s="9">
        <f>IF(SUM(H11:H34)&gt;0,$E$51-SUM($F$11:H34),NA())</f>
        <v>53.5</v>
      </c>
      <c r="I51" s="9">
        <f>IF(SUM(I11:I34)&gt;0,$E$51-SUM($F$11:I34),NA())</f>
        <v>47</v>
      </c>
      <c r="J51" s="9">
        <f>IF(SUM(J11:J34)&gt;0,$E$51-SUM($F$11:J34),NA())</f>
        <v>39</v>
      </c>
      <c r="K51" s="9">
        <f>IF(SUM(K11:K34)&gt;0,$E$51-SUM($F$11:K34),NA())</f>
        <v>35.5</v>
      </c>
      <c r="L51" s="9" t="e">
        <f>IF(SUM(L11:L34)&gt;0,$E$51-SUM($F$11:L34),NA())</f>
        <v>#N/A</v>
      </c>
      <c r="M51" s="9" t="e">
        <f>IF(SUM(M11:M34)&gt;0,$E$51-SUM($F$11:M34),NA())</f>
        <v>#N/A</v>
      </c>
      <c r="N51" s="9" t="e">
        <f>IF(SUM(N11:N34)&gt;0,$E$51-SUM($F$11:N34),NA())</f>
        <v>#N/A</v>
      </c>
      <c r="O51" s="9" t="e">
        <f>IF(SUM(O11:O34)&gt;0,$E$51-SUM($F$11:O34),NA())</f>
        <v>#N/A</v>
      </c>
      <c r="P51" s="9" t="e">
        <f>IF(SUM(P11:P34)&gt;0,$E$51-SUM($F$11:P34),NA())</f>
        <v>#N/A</v>
      </c>
      <c r="Q51" s="9" t="e">
        <f>IF(SUM(Q11:Q34)&gt;0,$E$51-SUM($F$11:Q34),NA())</f>
        <v>#N/A</v>
      </c>
      <c r="R51" s="9" t="e">
        <f>IF(SUM(R11:R34)&gt;0,$E$51-SUM($F$11:R34),NA())</f>
        <v>#N/A</v>
      </c>
      <c r="S51" s="9" t="e">
        <f>IF(SUM(S11:S34)&gt;0,$E$51-SUM($F$11:S34),NA())</f>
        <v>#N/A</v>
      </c>
    </row>
    <row r="52" spans="1:19">
      <c r="A52" s="84"/>
      <c r="B52" s="84"/>
      <c r="C52" s="12" t="s">
        <v>100</v>
      </c>
      <c r="D52" s="53"/>
      <c r="E52" s="106"/>
      <c r="F52" s="10">
        <f>$E$51-($E$51/14)</f>
        <v>74.285714285714292</v>
      </c>
      <c r="G52" s="10">
        <f t="shared" ref="G52:S52" si="1">F52-($E$51/14)</f>
        <v>68.571428571428584</v>
      </c>
      <c r="H52" s="10">
        <f t="shared" si="1"/>
        <v>62.857142857142868</v>
      </c>
      <c r="I52" s="10">
        <f t="shared" si="1"/>
        <v>57.142857142857153</v>
      </c>
      <c r="J52" s="10">
        <f t="shared" si="1"/>
        <v>51.428571428571438</v>
      </c>
      <c r="K52" s="10">
        <f t="shared" si="1"/>
        <v>45.714285714285722</v>
      </c>
      <c r="L52" s="10">
        <f t="shared" si="1"/>
        <v>40.000000000000007</v>
      </c>
      <c r="M52" s="10">
        <f t="shared" si="1"/>
        <v>34.285714285714292</v>
      </c>
      <c r="N52" s="10">
        <f t="shared" si="1"/>
        <v>28.571428571428577</v>
      </c>
      <c r="O52" s="10">
        <f t="shared" si="1"/>
        <v>22.857142857142861</v>
      </c>
      <c r="P52" s="10">
        <f t="shared" si="1"/>
        <v>17.142857142857146</v>
      </c>
      <c r="Q52" s="10">
        <f t="shared" si="1"/>
        <v>11.428571428571431</v>
      </c>
      <c r="R52" s="10">
        <f t="shared" si="1"/>
        <v>5.7142857142857162</v>
      </c>
      <c r="S52" s="10">
        <f t="shared" si="1"/>
        <v>0</v>
      </c>
    </row>
    <row r="53" spans="1:19">
      <c r="A53" s="84"/>
      <c r="B53" s="84"/>
      <c r="C53" s="85"/>
      <c r="D53" s="85"/>
      <c r="E53" s="86"/>
      <c r="F53" s="86"/>
      <c r="G53" s="86"/>
      <c r="H53" s="86"/>
      <c r="I53" s="86"/>
      <c r="J53" s="86"/>
      <c r="K53" s="86"/>
      <c r="L53" s="86"/>
      <c r="M53" s="86"/>
      <c r="N53" s="86"/>
      <c r="O53" s="86"/>
      <c r="P53" s="86"/>
      <c r="Q53" s="86"/>
      <c r="R53" s="86"/>
      <c r="S53" s="86"/>
    </row>
    <row r="54" spans="1:19">
      <c r="A54" s="84"/>
      <c r="B54" s="84"/>
      <c r="C54" s="85"/>
      <c r="D54" s="85"/>
      <c r="E54" s="86"/>
      <c r="F54" s="86"/>
      <c r="G54" s="86"/>
      <c r="H54" s="86"/>
      <c r="I54" s="86"/>
      <c r="J54" s="86"/>
      <c r="K54" s="86"/>
      <c r="L54" s="86"/>
      <c r="M54" s="86"/>
      <c r="N54" s="86"/>
      <c r="O54" s="86"/>
      <c r="P54" s="86"/>
      <c r="Q54" s="86"/>
      <c r="R54" s="86"/>
      <c r="S54" s="86"/>
    </row>
    <row r="55" spans="1:19">
      <c r="A55" s="84"/>
      <c r="B55" s="84"/>
      <c r="C55" s="85"/>
      <c r="D55" s="85"/>
      <c r="E55" s="86"/>
      <c r="F55" s="86"/>
      <c r="G55" s="86"/>
      <c r="H55" s="86"/>
      <c r="I55" s="86"/>
      <c r="J55" s="86"/>
      <c r="K55" s="86"/>
      <c r="L55" s="86"/>
      <c r="M55" s="86"/>
      <c r="N55" s="86"/>
      <c r="O55" s="86"/>
      <c r="P55" s="86"/>
      <c r="Q55" s="86"/>
      <c r="R55" s="86"/>
      <c r="S55" s="86"/>
    </row>
    <row r="56" spans="1:19">
      <c r="A56" s="84"/>
      <c r="B56" s="84"/>
      <c r="C56" s="85"/>
      <c r="D56" s="85"/>
      <c r="E56" s="86"/>
      <c r="F56" s="86"/>
      <c r="G56" s="86"/>
      <c r="H56" s="86"/>
      <c r="I56" s="86"/>
      <c r="J56" s="86"/>
      <c r="K56" s="86"/>
      <c r="L56" s="86"/>
      <c r="M56" s="86"/>
      <c r="N56" s="86"/>
      <c r="O56" s="86"/>
      <c r="P56" s="86"/>
      <c r="Q56" s="86"/>
      <c r="R56" s="86"/>
      <c r="S56" s="86"/>
    </row>
    <row r="57" spans="1:19">
      <c r="A57" s="84"/>
      <c r="B57" s="84"/>
      <c r="C57" s="85"/>
      <c r="D57" s="85"/>
      <c r="E57" s="86"/>
      <c r="F57" s="86"/>
      <c r="G57" s="86"/>
      <c r="H57" s="86"/>
      <c r="I57" s="86"/>
      <c r="J57" s="86"/>
      <c r="K57" s="7">
        <v>0</v>
      </c>
      <c r="L57" s="86">
        <f>SUM(E11:E19)</f>
        <v>24.5</v>
      </c>
      <c r="M57" s="86"/>
      <c r="N57" s="86"/>
      <c r="O57" s="86"/>
      <c r="P57" s="86"/>
      <c r="Q57" s="86"/>
      <c r="R57" s="7">
        <v>0</v>
      </c>
      <c r="S57" s="86">
        <f>SUM(L11:L19)</f>
        <v>0</v>
      </c>
    </row>
    <row r="58" spans="1:19">
      <c r="A58" s="84"/>
      <c r="B58" s="84"/>
      <c r="C58" s="85"/>
      <c r="D58" s="85"/>
      <c r="E58" s="86"/>
      <c r="F58" s="86"/>
      <c r="G58" s="86"/>
      <c r="H58" s="86"/>
      <c r="I58" s="86"/>
      <c r="J58" s="86"/>
      <c r="K58" s="7">
        <v>10</v>
      </c>
      <c r="L58" s="7">
        <v>0</v>
      </c>
      <c r="M58" s="86"/>
      <c r="N58" s="86"/>
      <c r="O58" s="86"/>
      <c r="P58" s="86"/>
      <c r="Q58" s="86"/>
      <c r="R58" s="7">
        <v>10</v>
      </c>
      <c r="S58" s="7">
        <v>0</v>
      </c>
    </row>
    <row r="59" spans="1:19">
      <c r="A59" s="84"/>
      <c r="B59" s="84"/>
      <c r="C59" s="85"/>
      <c r="D59" s="85"/>
      <c r="E59" s="86"/>
      <c r="F59" s="86"/>
      <c r="G59" s="86"/>
      <c r="H59" s="86"/>
      <c r="I59" s="86"/>
      <c r="J59" s="86"/>
      <c r="K59" s="86"/>
      <c r="L59" s="86"/>
      <c r="M59" s="86"/>
      <c r="N59" s="86"/>
      <c r="O59" s="86"/>
      <c r="P59" s="86"/>
      <c r="Q59" s="86"/>
      <c r="R59" s="86"/>
      <c r="S59" s="86"/>
    </row>
    <row r="60" spans="1:19">
      <c r="A60" s="84"/>
      <c r="B60" s="84"/>
      <c r="C60" s="85"/>
      <c r="D60" s="85"/>
      <c r="E60" s="86"/>
      <c r="F60" s="86"/>
      <c r="G60" s="86"/>
      <c r="H60" s="86"/>
      <c r="I60" s="86"/>
      <c r="J60" s="86"/>
      <c r="K60" s="86"/>
      <c r="L60" s="86"/>
      <c r="M60" s="86"/>
      <c r="N60" s="86"/>
      <c r="O60" s="86"/>
      <c r="P60" s="86"/>
      <c r="Q60" s="86"/>
      <c r="R60" s="86"/>
      <c r="S60" s="86"/>
    </row>
    <row r="61" spans="1:19">
      <c r="A61" s="84"/>
      <c r="B61" s="84"/>
      <c r="C61" s="85"/>
      <c r="D61" s="85"/>
      <c r="E61" s="86"/>
      <c r="F61" s="86"/>
      <c r="G61" s="86"/>
      <c r="H61" s="86"/>
      <c r="I61" s="86"/>
      <c r="J61" s="86"/>
      <c r="K61" s="86"/>
      <c r="L61" s="86"/>
      <c r="M61" s="86"/>
      <c r="N61" s="86"/>
      <c r="O61" s="86"/>
      <c r="P61" s="86"/>
      <c r="Q61" s="86"/>
      <c r="R61" s="86"/>
      <c r="S61" s="86"/>
    </row>
    <row r="62" spans="1:19">
      <c r="A62" s="84"/>
      <c r="B62" s="84"/>
      <c r="C62" s="85"/>
      <c r="D62" s="85"/>
      <c r="E62" s="86"/>
      <c r="F62" s="86"/>
      <c r="G62" s="86"/>
      <c r="H62" s="86"/>
      <c r="I62" s="86"/>
      <c r="J62" s="86"/>
      <c r="K62" s="86"/>
      <c r="L62" s="86"/>
      <c r="M62" s="86"/>
      <c r="N62" s="86"/>
      <c r="O62" s="86"/>
      <c r="P62" s="86"/>
      <c r="Q62" s="86"/>
      <c r="R62" s="86"/>
      <c r="S62" s="86"/>
    </row>
    <row r="63" spans="1:19">
      <c r="A63" s="84"/>
      <c r="B63" s="84"/>
      <c r="C63" s="85"/>
      <c r="D63" s="85"/>
      <c r="E63" s="86"/>
      <c r="F63" s="86"/>
      <c r="G63" s="86"/>
      <c r="H63" s="86"/>
      <c r="I63" s="86"/>
      <c r="J63" s="86"/>
      <c r="K63" s="86"/>
      <c r="L63" s="86"/>
      <c r="M63" s="86"/>
      <c r="N63" s="86"/>
      <c r="O63" s="86"/>
      <c r="P63" s="86"/>
      <c r="Q63" s="86"/>
      <c r="R63" s="86"/>
      <c r="S63" s="86"/>
    </row>
    <row r="64" spans="1:19">
      <c r="A64" s="84"/>
      <c r="B64" s="84"/>
      <c r="C64" s="85"/>
      <c r="D64" s="85"/>
      <c r="E64" s="86"/>
      <c r="F64" s="86"/>
      <c r="G64" s="86"/>
      <c r="H64" s="86"/>
      <c r="I64" s="86"/>
      <c r="J64" s="86"/>
      <c r="K64" s="86"/>
      <c r="L64" s="86"/>
      <c r="M64" s="86"/>
      <c r="N64" s="86"/>
      <c r="O64" s="86"/>
      <c r="P64" s="86"/>
      <c r="Q64" s="86"/>
      <c r="R64" s="86"/>
      <c r="S64" s="86"/>
    </row>
    <row r="65" spans="13:19">
      <c r="M65" s="86"/>
      <c r="N65" s="86"/>
      <c r="O65" s="86"/>
      <c r="P65" s="86"/>
      <c r="Q65" s="86"/>
      <c r="R65" s="86"/>
      <c r="S65" s="86"/>
    </row>
    <row r="66" spans="13:19">
      <c r="M66" s="86"/>
      <c r="N66" s="86"/>
      <c r="O66" s="86"/>
      <c r="P66" s="86"/>
      <c r="Q66" s="86"/>
      <c r="R66" s="86"/>
      <c r="S66" s="86"/>
    </row>
    <row r="67" spans="13:19">
      <c r="M67" s="86"/>
      <c r="N67" s="86"/>
      <c r="O67" s="86"/>
      <c r="P67" s="86"/>
      <c r="Q67" s="86"/>
      <c r="R67" s="86"/>
      <c r="S67" s="86"/>
    </row>
    <row r="68" spans="13:19">
      <c r="M68" s="86"/>
      <c r="N68" s="86"/>
      <c r="O68" s="86"/>
      <c r="P68" s="86"/>
      <c r="Q68" s="86"/>
      <c r="R68" s="86"/>
      <c r="S68" s="86"/>
    </row>
    <row r="69" spans="13:19">
      <c r="M69" s="86"/>
      <c r="N69" s="86"/>
      <c r="O69" s="86"/>
      <c r="P69" s="86"/>
      <c r="Q69" s="86"/>
      <c r="R69" s="86"/>
      <c r="S69" s="86"/>
    </row>
    <row r="70" spans="13:19">
      <c r="M70" s="86"/>
      <c r="N70" s="86"/>
      <c r="O70" s="86"/>
      <c r="P70" s="86"/>
      <c r="Q70" s="86"/>
      <c r="R70" s="86"/>
      <c r="S70" s="86"/>
    </row>
    <row r="71" spans="13:19">
      <c r="M71" s="86"/>
      <c r="N71" s="86"/>
      <c r="O71" s="86"/>
      <c r="P71" s="86"/>
      <c r="Q71" s="86"/>
      <c r="R71" s="86"/>
      <c r="S71" s="86"/>
    </row>
    <row r="72" spans="13:19">
      <c r="M72" s="86"/>
      <c r="N72" s="86"/>
      <c r="O72" s="86"/>
      <c r="P72" s="86"/>
      <c r="Q72" s="86"/>
      <c r="R72" s="86"/>
      <c r="S72" s="86"/>
    </row>
    <row r="73" spans="13:19">
      <c r="M73" s="86"/>
      <c r="N73" s="86"/>
      <c r="O73" s="86"/>
      <c r="P73" s="86"/>
      <c r="Q73" s="86"/>
      <c r="R73" s="86"/>
      <c r="S73" s="86"/>
    </row>
    <row r="74" spans="13:19">
      <c r="M74" s="86"/>
      <c r="N74" s="86"/>
      <c r="O74" s="86"/>
      <c r="P74" s="86"/>
      <c r="Q74" s="86"/>
      <c r="R74" s="86"/>
      <c r="S74" s="86"/>
    </row>
    <row r="75" spans="13:19">
      <c r="M75" s="86"/>
      <c r="N75" s="86"/>
      <c r="O75" s="86"/>
      <c r="P75" s="86"/>
      <c r="Q75" s="86"/>
      <c r="R75" s="86"/>
      <c r="S75" s="86"/>
    </row>
  </sheetData>
  <autoFilter ref="A10:E10" xr:uid="{00000000-0009-0000-0000-000003000000}"/>
  <mergeCells count="5">
    <mergeCell ref="A2:L2"/>
    <mergeCell ref="E51:E52"/>
    <mergeCell ref="F8:L8"/>
    <mergeCell ref="M8:S8"/>
    <mergeCell ref="E4:J4"/>
  </mergeCells>
  <conditionalFormatting sqref="F20:S20">
    <cfRule type="cellIs" dxfId="1" priority="1" stopIfTrue="1" operator="lessThan">
      <formula>F21</formula>
    </cfRule>
    <cfRule type="cellIs" dxfId="0" priority="2" stopIfTrue="1" operator="greaterThan">
      <formula>F21</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Olivier Gérardin</dc:creator>
  <cp:keywords/>
  <dc:description/>
  <cp:lastModifiedBy/>
  <cp:revision/>
  <dcterms:created xsi:type="dcterms:W3CDTF">2009-04-30T08:53:36Z</dcterms:created>
  <dcterms:modified xsi:type="dcterms:W3CDTF">2026-05-25T03:07:18Z</dcterms:modified>
  <cp:category/>
  <cp:contentStatus/>
</cp:coreProperties>
</file>